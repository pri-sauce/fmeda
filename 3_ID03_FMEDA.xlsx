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codeName="ThisWorkbook" defaultThemeVersion="124226"/>
  <xr:revisionPtr revIDLastSave="3" documentId="13_ncr:1_{F63DDC0B-AF11-4767-9553-E69F5920A357}" xr6:coauthVersionLast="47" xr6:coauthVersionMax="47" xr10:uidLastSave="{05998C9F-0A9B-4661-8512-599679AE0293}"/>
  <bookViews>
    <workbookView xWindow="-120" yWindow="-120" windowWidth="38640" windowHeight="21120" tabRatio="725" activeTab="12" xr2:uid="{00000000-000D-0000-FFFF-FFFF00000000}"/>
  </bookViews>
  <sheets>
    <sheet name="Cover" sheetId="16" r:id="rId1"/>
    <sheet name="Block Diagram" sheetId="39" r:id="rId2"/>
    <sheet name="Description of Block" sheetId="19" r:id="rId3"/>
    <sheet name="SM list" sheetId="23" r:id="rId4"/>
    <sheet name="Die_PKG Base Failure rate" sheetId="27" r:id="rId5"/>
    <sheet name="Core Block FIT rate" sheetId="24" r:id="rId6"/>
    <sheet name="FMEDA" sheetId="37" r:id="rId7"/>
    <sheet name="PIN ASSIGN" sheetId="29" r:id="rId8"/>
    <sheet name="PAD(PSP))" sheetId="30" r:id="rId9"/>
    <sheet name="PAD(PSG))" sheetId="31" r:id="rId10"/>
    <sheet name="Bonding(OPEN) " sheetId="32" r:id="rId11"/>
    <sheet name="PIN(Near short)" sheetId="33" r:id="rId12"/>
    <sheet name="Summary" sheetId="22" r:id="rId13"/>
    <sheet name="DFI List" sheetId="42" r:id="rId14"/>
    <sheet name="DFA" sheetId="41" r:id="rId15"/>
    <sheet name="Components IF" sheetId="43" r:id="rId16"/>
  </sheets>
  <definedNames>
    <definedName name="_xlnm._FilterDatabase" localSheetId="14" hidden="1">DFA!$B$14:$R$98</definedName>
    <definedName name="_xlnm._FilterDatabase" localSheetId="6" hidden="1">FMEDA!$B$21:$AD$166</definedName>
    <definedName name="climate" localSheetId="1">#REF!</definedName>
    <definedName name="climate" localSheetId="13">#REF!</definedName>
    <definedName name="climate">#REF!</definedName>
    <definedName name="cooling" localSheetId="1">#REF!</definedName>
    <definedName name="cooling" localSheetId="13">#REF!</definedName>
    <definedName name="cooling">#REF!</definedName>
    <definedName name="interfaces" localSheetId="1">#REF!</definedName>
    <definedName name="interfaces" localSheetId="13">#REF!</definedName>
    <definedName name="interfaces">#REF!</definedName>
    <definedName name="package" localSheetId="1">#REF!</definedName>
    <definedName name="package" localSheetId="13">#REF!</definedName>
    <definedName name="package">#REF!</definedName>
    <definedName name="_xlnm.Print_Area" localSheetId="1">'Block Diagram'!$A$1:$N$116</definedName>
    <definedName name="_xlnm.Print_Area" localSheetId="10">'Bonding(OPEN) '!$A$1:$AB$72</definedName>
    <definedName name="_xlnm.Print_Area" localSheetId="5">'Core Block FIT rate'!$A$1:$N$51</definedName>
    <definedName name="_xlnm.Print_Area" localSheetId="0">Cover!$A$1:$K$55</definedName>
    <definedName name="_xlnm.Print_Area" localSheetId="2">'Description of Block'!$A$1:$J$27</definedName>
    <definedName name="_xlnm.Print_Area" localSheetId="14">DFA!$A$1:$T$100</definedName>
    <definedName name="_xlnm.Print_Area" localSheetId="13">'DFI List'!$A$1:$P$60</definedName>
    <definedName name="_xlnm.Print_Area" localSheetId="6">FMEDA!$A$1:$AF$173</definedName>
    <definedName name="_xlnm.Print_Area" localSheetId="9">'PAD(PSG))'!$A$1:$AA$71</definedName>
    <definedName name="_xlnm.Print_Area" localSheetId="8">'PAD(PSP))'!$A$1:$AA$71</definedName>
    <definedName name="_xlnm.Print_Area" localSheetId="7">'PIN ASSIGN'!$A$1:$L$145</definedName>
    <definedName name="_xlnm.Print_Area" localSheetId="11">'PIN(Near short)'!$A$1:$AB$72</definedName>
    <definedName name="_xlnm.Print_Area" localSheetId="3">'SM list'!$A$1:$N$34</definedName>
    <definedName name="profiles" localSheetId="1">#REF!</definedName>
    <definedName name="profiles" localSheetId="14">#REF!</definedName>
    <definedName name="profiles" localSheetId="13">#REF!</definedName>
    <definedName name="profiles" localSheetId="6">#REF!</definedName>
    <definedName name="profil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0" i="22" l="1"/>
  <c r="G20" i="22"/>
  <c r="E15" i="24"/>
  <c r="F38" i="27"/>
  <c r="E200" i="27"/>
  <c r="U36" i="32" l="1"/>
  <c r="O36" i="32"/>
  <c r="U44" i="32"/>
  <c r="O44" i="32"/>
  <c r="O32" i="32"/>
  <c r="O33" i="32"/>
  <c r="O34" i="32"/>
  <c r="O35" i="32"/>
  <c r="O37" i="32"/>
  <c r="O38" i="32"/>
  <c r="O39" i="32"/>
  <c r="O40" i="32"/>
  <c r="O41" i="32"/>
  <c r="O42" i="32"/>
  <c r="O43" i="32"/>
  <c r="O45" i="32"/>
  <c r="O46" i="32"/>
  <c r="O47" i="32"/>
  <c r="O48" i="32"/>
  <c r="O49" i="32"/>
  <c r="O50" i="32"/>
  <c r="O51" i="32"/>
  <c r="O52" i="32"/>
  <c r="O53" i="32"/>
  <c r="O54" i="32"/>
  <c r="O55" i="32"/>
  <c r="O56" i="32"/>
  <c r="O57" i="32"/>
  <c r="O58" i="32"/>
  <c r="O59" i="32"/>
  <c r="O60" i="32"/>
  <c r="O61" i="32"/>
  <c r="O62" i="32"/>
  <c r="O63" i="32"/>
  <c r="O64" i="32"/>
  <c r="O65" i="32"/>
  <c r="O66" i="32"/>
  <c r="O67" i="32"/>
  <c r="O68" i="32"/>
  <c r="O69" i="32"/>
  <c r="O70" i="32"/>
  <c r="T43" i="31"/>
  <c r="N43" i="31"/>
  <c r="T35" i="31"/>
  <c r="N35" i="31"/>
  <c r="V70" i="33"/>
  <c r="V69" i="33"/>
  <c r="V68" i="33"/>
  <c r="V67" i="33"/>
  <c r="V66" i="33"/>
  <c r="V65" i="33"/>
  <c r="V64" i="33"/>
  <c r="V63" i="33"/>
  <c r="V62" i="33"/>
  <c r="V61" i="33"/>
  <c r="V60" i="33"/>
  <c r="V59" i="33"/>
  <c r="V58" i="33"/>
  <c r="V57" i="33"/>
  <c r="V56" i="33"/>
  <c r="V55" i="33"/>
  <c r="V54" i="33"/>
  <c r="V53" i="33"/>
  <c r="V52" i="33"/>
  <c r="V51" i="33"/>
  <c r="V50" i="33"/>
  <c r="V49" i="33"/>
  <c r="V48" i="33"/>
  <c r="V47" i="33"/>
  <c r="V46" i="33"/>
  <c r="V45" i="33"/>
  <c r="V44" i="33"/>
  <c r="V43" i="33"/>
  <c r="V42" i="33"/>
  <c r="V41" i="33"/>
  <c r="V40" i="33"/>
  <c r="V39" i="33"/>
  <c r="V38" i="33"/>
  <c r="V37" i="33"/>
  <c r="V36" i="33"/>
  <c r="V35" i="33"/>
  <c r="V34" i="33"/>
  <c r="V33" i="33"/>
  <c r="V32" i="33"/>
  <c r="V31" i="33"/>
  <c r="V30" i="33"/>
  <c r="V29" i="33"/>
  <c r="V28" i="33"/>
  <c r="V26" i="33"/>
  <c r="V25" i="33"/>
  <c r="V24" i="33"/>
  <c r="V23" i="33"/>
  <c r="V70" i="32"/>
  <c r="V69" i="32"/>
  <c r="V68" i="32"/>
  <c r="V67" i="32"/>
  <c r="V66" i="32"/>
  <c r="V65" i="32"/>
  <c r="V64" i="32"/>
  <c r="V63" i="32"/>
  <c r="V62" i="32"/>
  <c r="V61" i="32"/>
  <c r="V60" i="32"/>
  <c r="V59" i="32"/>
  <c r="V58" i="32"/>
  <c r="V57" i="32"/>
  <c r="V56" i="32"/>
  <c r="V55" i="32"/>
  <c r="V54" i="32"/>
  <c r="V53" i="32"/>
  <c r="V52" i="32"/>
  <c r="V51" i="32"/>
  <c r="V50" i="32"/>
  <c r="V49" i="32"/>
  <c r="V48" i="32"/>
  <c r="V47" i="32"/>
  <c r="V46" i="32"/>
  <c r="V45" i="32"/>
  <c r="V43" i="32"/>
  <c r="V42" i="32"/>
  <c r="V41" i="32"/>
  <c r="V40" i="32"/>
  <c r="V39" i="32"/>
  <c r="V38" i="32"/>
  <c r="V37" i="32"/>
  <c r="V35" i="32"/>
  <c r="V34" i="32"/>
  <c r="V33" i="32"/>
  <c r="V32" i="32"/>
  <c r="V31" i="32"/>
  <c r="V30" i="32"/>
  <c r="V29" i="32"/>
  <c r="V28" i="32"/>
  <c r="V27" i="32"/>
  <c r="V26" i="32"/>
  <c r="V25" i="32"/>
  <c r="V24" i="32"/>
  <c r="V23" i="32"/>
  <c r="U69" i="31"/>
  <c r="U68" i="31"/>
  <c r="U67" i="31"/>
  <c r="U66" i="31"/>
  <c r="U65" i="31"/>
  <c r="U64" i="31"/>
  <c r="U63" i="31"/>
  <c r="U62" i="31"/>
  <c r="U61" i="31"/>
  <c r="U60" i="31"/>
  <c r="U59" i="31"/>
  <c r="U58" i="31"/>
  <c r="U57" i="31"/>
  <c r="U56" i="31"/>
  <c r="U55" i="31"/>
  <c r="U54" i="31"/>
  <c r="U53" i="31"/>
  <c r="U52" i="31"/>
  <c r="U51" i="31"/>
  <c r="U50" i="31"/>
  <c r="U49" i="31"/>
  <c r="U48" i="31"/>
  <c r="U47" i="31"/>
  <c r="U46" i="31"/>
  <c r="U45" i="31"/>
  <c r="U44" i="31"/>
  <c r="U42" i="31"/>
  <c r="U41" i="31"/>
  <c r="U40" i="31"/>
  <c r="U39" i="31"/>
  <c r="U38" i="31"/>
  <c r="U37" i="31"/>
  <c r="U36" i="31"/>
  <c r="U34" i="31"/>
  <c r="U33" i="31"/>
  <c r="U32" i="31"/>
  <c r="U31" i="31"/>
  <c r="U30" i="31"/>
  <c r="U29" i="31"/>
  <c r="U28" i="31"/>
  <c r="U27" i="31"/>
  <c r="U26" i="31"/>
  <c r="U25" i="31"/>
  <c r="U24" i="31"/>
  <c r="U23" i="31"/>
  <c r="U22" i="31"/>
  <c r="U69" i="30"/>
  <c r="U68" i="30"/>
  <c r="U67" i="30"/>
  <c r="U66" i="30"/>
  <c r="U65" i="30"/>
  <c r="U64" i="30"/>
  <c r="U63" i="30"/>
  <c r="U62" i="30"/>
  <c r="U61" i="30"/>
  <c r="U60" i="30"/>
  <c r="U59" i="30"/>
  <c r="U58" i="30"/>
  <c r="U57" i="30"/>
  <c r="U56" i="30"/>
  <c r="U55" i="30"/>
  <c r="U54" i="30"/>
  <c r="U53" i="30"/>
  <c r="U52" i="30"/>
  <c r="U51" i="30"/>
  <c r="U50" i="30"/>
  <c r="U49" i="30"/>
  <c r="U48" i="30"/>
  <c r="U47" i="30"/>
  <c r="U46" i="30"/>
  <c r="U45" i="30"/>
  <c r="U44" i="30"/>
  <c r="U42" i="30"/>
  <c r="U41" i="30"/>
  <c r="U40" i="30"/>
  <c r="U39" i="30"/>
  <c r="U38" i="30"/>
  <c r="U37" i="30"/>
  <c r="U36" i="30"/>
  <c r="U33" i="30"/>
  <c r="U29" i="30"/>
  <c r="U28" i="30"/>
  <c r="U26" i="30"/>
  <c r="U25" i="30"/>
  <c r="U24" i="30"/>
  <c r="U23" i="30"/>
  <c r="U22" i="30"/>
  <c r="Y118" i="37"/>
  <c r="Y117" i="37"/>
  <c r="Y116" i="37"/>
  <c r="Y112" i="37"/>
  <c r="Y111" i="37"/>
  <c r="Y110" i="37"/>
  <c r="Y106" i="37"/>
  <c r="Y105" i="37"/>
  <c r="Y104" i="37"/>
  <c r="Y98" i="37"/>
  <c r="Y100" i="37"/>
  <c r="Y99" i="37"/>
  <c r="Y97" i="37"/>
  <c r="Y95" i="37"/>
  <c r="Y94" i="37"/>
  <c r="Y85" i="37"/>
  <c r="Y84" i="37"/>
  <c r="Y83" i="37"/>
  <c r="Y78" i="37"/>
  <c r="Y70" i="37"/>
  <c r="Y69" i="37"/>
  <c r="Y54" i="37"/>
  <c r="Y57" i="37"/>
  <c r="Y56" i="37"/>
  <c r="Y55" i="37"/>
  <c r="Y52" i="37"/>
  <c r="Y50" i="37"/>
  <c r="Y47" i="37"/>
  <c r="Y49" i="37"/>
  <c r="Y48" i="37"/>
  <c r="Y43" i="37"/>
  <c r="Y40" i="37"/>
  <c r="Y39" i="37"/>
  <c r="Y36" i="37"/>
  <c r="Y35" i="37"/>
  <c r="Y32" i="37"/>
  <c r="Y31" i="37"/>
  <c r="Y30" i="37"/>
  <c r="Y29" i="37"/>
  <c r="Y24" i="37"/>
  <c r="Y25" i="37"/>
  <c r="Y23" i="37"/>
  <c r="Y22" i="37"/>
  <c r="U118" i="37" l="1"/>
  <c r="U112" i="37"/>
  <c r="U106" i="37"/>
  <c r="U100" i="37"/>
  <c r="R100" i="37"/>
  <c r="J46" i="24"/>
  <c r="I46" i="24"/>
  <c r="X96" i="37" l="1"/>
  <c r="R96" i="37"/>
  <c r="R103" i="37"/>
  <c r="R102" i="37"/>
  <c r="R109" i="37"/>
  <c r="R108" i="37"/>
  <c r="R115" i="37"/>
  <c r="R114" i="37"/>
  <c r="R121" i="37"/>
  <c r="R120" i="37"/>
  <c r="R85" i="37"/>
  <c r="R84" i="37"/>
  <c r="R119" i="37" l="1"/>
  <c r="R118" i="37"/>
  <c r="U117" i="37"/>
  <c r="R117" i="37"/>
  <c r="R116" i="37"/>
  <c r="R113" i="37"/>
  <c r="R112" i="37"/>
  <c r="U111" i="37"/>
  <c r="R111" i="37"/>
  <c r="R110" i="37"/>
  <c r="R107" i="37"/>
  <c r="R106" i="37"/>
  <c r="U105" i="37"/>
  <c r="R105" i="37"/>
  <c r="R104" i="37"/>
  <c r="U99" i="37"/>
  <c r="R101" i="37"/>
  <c r="R82" i="37"/>
  <c r="R81" i="37"/>
  <c r="R80" i="37"/>
  <c r="R79" i="37"/>
  <c r="R73" i="37"/>
  <c r="R71" i="37"/>
  <c r="R72" i="37"/>
  <c r="R74" i="37"/>
  <c r="R75" i="37"/>
  <c r="R76" i="37"/>
  <c r="R62" i="37"/>
  <c r="R63" i="37"/>
  <c r="R64" i="37"/>
  <c r="R67" i="37"/>
  <c r="R65" i="37"/>
  <c r="R66" i="37"/>
  <c r="R68" i="37"/>
  <c r="R59" i="37"/>
  <c r="R58" i="37"/>
  <c r="R60" i="37"/>
  <c r="R51" i="37"/>
  <c r="R53" i="37"/>
  <c r="R45" i="37"/>
  <c r="R42" i="37"/>
  <c r="R44" i="37"/>
  <c r="R46" i="37"/>
  <c r="R38" i="37"/>
  <c r="R37" i="37"/>
  <c r="R34" i="37"/>
  <c r="R33" i="37"/>
  <c r="T26" i="30" l="1"/>
  <c r="N26" i="30"/>
  <c r="AD6" i="37"/>
  <c r="AD5" i="37"/>
  <c r="AE4" i="37"/>
  <c r="AD4" i="37"/>
  <c r="AD3" i="37"/>
  <c r="T66" i="31"/>
  <c r="N66" i="31"/>
  <c r="T65" i="31"/>
  <c r="N65" i="31"/>
  <c r="T61" i="31"/>
  <c r="N61" i="31"/>
  <c r="T60" i="31"/>
  <c r="N60" i="31"/>
  <c r="T58" i="31"/>
  <c r="N58" i="31"/>
  <c r="T55" i="31"/>
  <c r="N55" i="31"/>
  <c r="T54" i="31"/>
  <c r="N54" i="31"/>
  <c r="T53" i="31"/>
  <c r="N53" i="31"/>
  <c r="T52" i="31"/>
  <c r="N52" i="31"/>
  <c r="T51" i="31"/>
  <c r="N51" i="31"/>
  <c r="T50" i="31"/>
  <c r="N50" i="31"/>
  <c r="T49" i="31"/>
  <c r="N49" i="31"/>
  <c r="T48" i="31"/>
  <c r="N48" i="31"/>
  <c r="T47" i="31"/>
  <c r="N47" i="31"/>
  <c r="T46" i="31"/>
  <c r="N46" i="31"/>
  <c r="T25" i="31"/>
  <c r="N25" i="31"/>
  <c r="T24" i="31"/>
  <c r="N24" i="31"/>
  <c r="T23" i="31"/>
  <c r="N23" i="31"/>
  <c r="T22" i="31"/>
  <c r="N22" i="31"/>
  <c r="T62" i="30"/>
  <c r="N62" i="30"/>
  <c r="T44" i="30"/>
  <c r="N44" i="30"/>
  <c r="T28" i="30"/>
  <c r="N28" i="30"/>
  <c r="T63" i="30"/>
  <c r="N63" i="30"/>
  <c r="T69" i="30"/>
  <c r="N69" i="30"/>
  <c r="T68" i="30"/>
  <c r="N68" i="30"/>
  <c r="T67" i="30"/>
  <c r="N67" i="30"/>
  <c r="T57" i="30"/>
  <c r="N57" i="30"/>
  <c r="T56" i="30"/>
  <c r="N56" i="30"/>
  <c r="T37" i="30"/>
  <c r="N37" i="30"/>
  <c r="T42" i="30"/>
  <c r="N42" i="30"/>
  <c r="T64" i="30"/>
  <c r="N64" i="30"/>
  <c r="T59" i="30"/>
  <c r="N59" i="30"/>
  <c r="T45" i="30"/>
  <c r="N45" i="30"/>
  <c r="T41" i="30"/>
  <c r="N41" i="30"/>
  <c r="T40" i="30"/>
  <c r="N40" i="30"/>
  <c r="T39" i="30"/>
  <c r="N39" i="30"/>
  <c r="T38" i="30"/>
  <c r="N38" i="30"/>
  <c r="T36" i="30"/>
  <c r="N36" i="30"/>
  <c r="T33" i="30"/>
  <c r="N33" i="30"/>
  <c r="T43" i="30"/>
  <c r="N43" i="30"/>
  <c r="T35" i="30"/>
  <c r="N35" i="30"/>
  <c r="T29" i="30"/>
  <c r="N29" i="30"/>
  <c r="T69" i="31"/>
  <c r="N69" i="31"/>
  <c r="T63" i="31"/>
  <c r="N63" i="31"/>
  <c r="T31" i="31"/>
  <c r="N31" i="31"/>
  <c r="T34" i="31"/>
  <c r="T45" i="31"/>
  <c r="T36" i="31"/>
  <c r="T33" i="31"/>
  <c r="T64" i="31"/>
  <c r="T59" i="31"/>
  <c r="T41" i="31"/>
  <c r="T40" i="31"/>
  <c r="T39" i="31"/>
  <c r="U70" i="33"/>
  <c r="U69" i="33"/>
  <c r="U68" i="33"/>
  <c r="U67" i="33"/>
  <c r="U66" i="33"/>
  <c r="U62" i="33"/>
  <c r="U61" i="33"/>
  <c r="U60" i="33"/>
  <c r="U59" i="33"/>
  <c r="U58" i="33"/>
  <c r="U57" i="33"/>
  <c r="U56" i="33"/>
  <c r="U55" i="33"/>
  <c r="U54" i="33"/>
  <c r="U51" i="33"/>
  <c r="U33" i="33"/>
  <c r="O33" i="33"/>
  <c r="U30" i="33"/>
  <c r="O30" i="33"/>
  <c r="A10" i="37"/>
  <c r="A11" i="41" l="1"/>
  <c r="A10" i="42"/>
  <c r="A8" i="22"/>
  <c r="A11" i="33"/>
  <c r="A11" i="32"/>
  <c r="A11" i="31"/>
  <c r="A11" i="30"/>
  <c r="A8" i="29"/>
  <c r="A9" i="24"/>
  <c r="A8" i="19"/>
  <c r="A9" i="39"/>
  <c r="A8" i="23"/>
  <c r="U65" i="33"/>
  <c r="U64" i="33"/>
  <c r="U63" i="33"/>
  <c r="U53" i="33"/>
  <c r="U52" i="33"/>
  <c r="U50" i="33"/>
  <c r="U49" i="33"/>
  <c r="U48" i="33"/>
  <c r="U47" i="33"/>
  <c r="U46" i="33"/>
  <c r="U45" i="33"/>
  <c r="U44" i="33"/>
  <c r="U43" i="33"/>
  <c r="U42" i="33"/>
  <c r="U41" i="33"/>
  <c r="U40" i="33"/>
  <c r="U39" i="33"/>
  <c r="U38" i="33"/>
  <c r="U37" i="33"/>
  <c r="U36" i="33"/>
  <c r="U35" i="33"/>
  <c r="U34" i="33"/>
  <c r="U32" i="33"/>
  <c r="U31" i="33"/>
  <c r="U29" i="33"/>
  <c r="U28" i="33"/>
  <c r="U27" i="33"/>
  <c r="U26" i="33"/>
  <c r="U25" i="33"/>
  <c r="U24" i="33"/>
  <c r="U23" i="33"/>
  <c r="U70" i="32"/>
  <c r="U69" i="32"/>
  <c r="U68" i="32"/>
  <c r="U67" i="32"/>
  <c r="U66" i="32"/>
  <c r="U65" i="32"/>
  <c r="U64" i="32"/>
  <c r="U63" i="32"/>
  <c r="U62" i="32"/>
  <c r="U61" i="32"/>
  <c r="U60" i="32"/>
  <c r="U59" i="32"/>
  <c r="U58" i="32"/>
  <c r="U57" i="32"/>
  <c r="U56" i="32"/>
  <c r="U55" i="32"/>
  <c r="U54" i="32"/>
  <c r="U53" i="32"/>
  <c r="U52" i="32"/>
  <c r="U51" i="32"/>
  <c r="U50" i="32"/>
  <c r="U49" i="32"/>
  <c r="U48" i="32"/>
  <c r="U47" i="32"/>
  <c r="U46" i="32"/>
  <c r="U45" i="32"/>
  <c r="U43" i="32"/>
  <c r="U42" i="32"/>
  <c r="U41" i="32"/>
  <c r="U40" i="32"/>
  <c r="U39" i="32"/>
  <c r="U38" i="32"/>
  <c r="U37" i="32"/>
  <c r="U35" i="32"/>
  <c r="U34" i="32"/>
  <c r="U33" i="32"/>
  <c r="U32" i="32"/>
  <c r="U31" i="32"/>
  <c r="U30" i="32"/>
  <c r="U29" i="32"/>
  <c r="U28" i="32"/>
  <c r="U27" i="32"/>
  <c r="U26" i="32"/>
  <c r="U25" i="32"/>
  <c r="U24" i="32"/>
  <c r="U23" i="32"/>
  <c r="T68" i="31"/>
  <c r="T67" i="31"/>
  <c r="T62" i="31"/>
  <c r="T57" i="31"/>
  <c r="T56" i="31"/>
  <c r="T44" i="31"/>
  <c r="T42" i="31"/>
  <c r="T38" i="31"/>
  <c r="T37" i="31"/>
  <c r="T32" i="31"/>
  <c r="T30" i="31"/>
  <c r="T29" i="31"/>
  <c r="T28" i="31"/>
  <c r="T27" i="31"/>
  <c r="T26" i="31"/>
  <c r="I147" i="27" l="1"/>
  <c r="F65" i="27" l="1"/>
  <c r="F63" i="27"/>
  <c r="F62" i="27"/>
  <c r="F50" i="27"/>
  <c r="F46" i="27"/>
  <c r="F42" i="27"/>
  <c r="F83" i="27"/>
  <c r="F82" i="27"/>
  <c r="F81" i="27"/>
  <c r="E74" i="27"/>
  <c r="Q6" i="41"/>
  <c r="Q5" i="41"/>
  <c r="R4" i="41"/>
  <c r="Q4" i="41"/>
  <c r="Q3" i="41"/>
  <c r="N5" i="42"/>
  <c r="N4" i="42"/>
  <c r="O3" i="42"/>
  <c r="N3" i="42"/>
  <c r="N2" i="42"/>
  <c r="J4" i="16"/>
  <c r="O48" i="33" l="1"/>
  <c r="O47" i="33"/>
  <c r="O36" i="33"/>
  <c r="O65" i="33"/>
  <c r="O64" i="33"/>
  <c r="O63" i="33"/>
  <c r="O53" i="33"/>
  <c r="O52" i="33"/>
  <c r="O50" i="33"/>
  <c r="O49" i="33"/>
  <c r="O45" i="33"/>
  <c r="O44" i="33"/>
  <c r="O35" i="33"/>
  <c r="N30" i="30"/>
  <c r="N66" i="30" l="1"/>
  <c r="N65" i="30"/>
  <c r="N61" i="30"/>
  <c r="N60" i="30"/>
  <c r="N58" i="30"/>
  <c r="N55" i="30"/>
  <c r="N54" i="30"/>
  <c r="N53" i="30"/>
  <c r="N52" i="30"/>
  <c r="N51" i="30"/>
  <c r="N50" i="30"/>
  <c r="N49" i="30"/>
  <c r="N48" i="30"/>
  <c r="N47" i="30"/>
  <c r="N46" i="30"/>
  <c r="N26" i="31"/>
  <c r="N40" i="31"/>
  <c r="O51" i="33"/>
  <c r="E127" i="27" l="1"/>
  <c r="E106" i="27"/>
  <c r="N64" i="31" l="1"/>
  <c r="N59" i="31"/>
  <c r="O70" i="33" l="1"/>
  <c r="O69" i="33"/>
  <c r="O68" i="33"/>
  <c r="O67" i="33"/>
  <c r="O66" i="33"/>
  <c r="O62" i="33"/>
  <c r="O61" i="33"/>
  <c r="O60" i="33"/>
  <c r="O59" i="33"/>
  <c r="O58" i="33"/>
  <c r="O57" i="33"/>
  <c r="O56" i="33"/>
  <c r="O55" i="33"/>
  <c r="O54" i="33"/>
  <c r="O37" i="33"/>
  <c r="O27" i="33"/>
  <c r="O26" i="33"/>
  <c r="O25" i="33"/>
  <c r="O24" i="33"/>
  <c r="E17" i="24" l="1"/>
  <c r="O23" i="33" l="1"/>
  <c r="O28" i="33"/>
  <c r="O29" i="33"/>
  <c r="O31" i="33"/>
  <c r="O32" i="33"/>
  <c r="O34" i="33"/>
  <c r="O38" i="33"/>
  <c r="O39" i="33"/>
  <c r="O40" i="33"/>
  <c r="O41" i="33"/>
  <c r="O42" i="33"/>
  <c r="O43" i="33"/>
  <c r="O46" i="33"/>
  <c r="R28" i="37" l="1"/>
  <c r="F48" i="27" l="1"/>
  <c r="O24" i="32" l="1"/>
  <c r="O25" i="32"/>
  <c r="O26" i="32"/>
  <c r="O27" i="32"/>
  <c r="O28" i="32"/>
  <c r="O29" i="32"/>
  <c r="O30" i="32"/>
  <c r="O31" i="32"/>
  <c r="O23" i="32"/>
  <c r="N27" i="31"/>
  <c r="N28" i="31"/>
  <c r="N29" i="31"/>
  <c r="N30" i="31"/>
  <c r="N32" i="31"/>
  <c r="N33" i="31"/>
  <c r="N34" i="31"/>
  <c r="N36" i="31"/>
  <c r="N37" i="31"/>
  <c r="N38" i="31"/>
  <c r="N39" i="31"/>
  <c r="N41" i="31"/>
  <c r="N42" i="31"/>
  <c r="N44" i="31"/>
  <c r="N45" i="31"/>
  <c r="N56" i="31"/>
  <c r="N57" i="31"/>
  <c r="N62" i="31"/>
  <c r="N67" i="31"/>
  <c r="N68" i="31"/>
  <c r="N23" i="30" l="1"/>
  <c r="N24" i="30"/>
  <c r="N25" i="30"/>
  <c r="N27" i="30"/>
  <c r="N31" i="30"/>
  <c r="N32" i="30"/>
  <c r="N34" i="30"/>
  <c r="N22" i="30"/>
  <c r="R26" i="37" l="1"/>
  <c r="R27" i="37"/>
  <c r="R29" i="37"/>
  <c r="R39" i="37"/>
  <c r="R40" i="37"/>
  <c r="R41" i="37"/>
  <c r="R47" i="37"/>
  <c r="R54" i="37"/>
  <c r="R55" i="37"/>
  <c r="R56" i="37"/>
  <c r="R57" i="37"/>
  <c r="R69" i="37"/>
  <c r="R77" i="37"/>
  <c r="R78" i="37"/>
  <c r="R94" i="37"/>
  <c r="R95" i="37"/>
  <c r="R97" i="37"/>
  <c r="R98" i="37"/>
  <c r="R99" i="37"/>
  <c r="U39" i="37" l="1"/>
  <c r="U40" i="37"/>
  <c r="U83" i="37"/>
  <c r="U84" i="37"/>
  <c r="U94" i="37"/>
  <c r="U95" i="37"/>
  <c r="U97" i="37"/>
  <c r="J50" i="24" l="1"/>
  <c r="M2" i="22" l="1"/>
  <c r="M3" i="22"/>
  <c r="M4" i="22"/>
  <c r="M5" i="22"/>
  <c r="I3" i="16" l="1"/>
  <c r="I6" i="16" l="1"/>
  <c r="J5" i="29" l="1"/>
  <c r="J4" i="29"/>
  <c r="K3" i="29"/>
  <c r="J3" i="29"/>
  <c r="J2" i="29"/>
  <c r="X7" i="33"/>
  <c r="X6" i="33"/>
  <c r="AA5" i="33"/>
  <c r="X5" i="33"/>
  <c r="X4" i="33"/>
  <c r="AA5" i="32"/>
  <c r="X7" i="32"/>
  <c r="X6" i="32"/>
  <c r="X5" i="32"/>
  <c r="X4" i="32"/>
  <c r="X7" i="31"/>
  <c r="X6" i="31"/>
  <c r="Z5" i="31"/>
  <c r="X5" i="31"/>
  <c r="X4" i="31"/>
  <c r="X7" i="30"/>
  <c r="X6" i="30"/>
  <c r="Z5" i="30"/>
  <c r="X5" i="30"/>
  <c r="X4" i="30"/>
  <c r="A7" i="39"/>
  <c r="L5" i="39"/>
  <c r="L4" i="39"/>
  <c r="M3" i="39"/>
  <c r="L3" i="39"/>
  <c r="L2" i="39"/>
  <c r="H16" i="22"/>
  <c r="H15" i="22"/>
  <c r="G16" i="22"/>
  <c r="G15" i="22"/>
  <c r="A7" i="24"/>
  <c r="A10" i="27"/>
  <c r="A8" i="27"/>
  <c r="Z5" i="27"/>
  <c r="Z4" i="27"/>
  <c r="AA3" i="27"/>
  <c r="Z3" i="27"/>
  <c r="Z2" i="27"/>
  <c r="N3" i="22"/>
  <c r="B6" i="22"/>
  <c r="K5" i="23"/>
  <c r="K4" i="23"/>
  <c r="L3" i="23"/>
  <c r="K3" i="23"/>
  <c r="K2" i="23"/>
  <c r="B6" i="23"/>
  <c r="L5" i="24"/>
  <c r="L4" i="24"/>
  <c r="M3" i="24"/>
  <c r="L3" i="24"/>
  <c r="L2" i="24"/>
  <c r="H3" i="19"/>
  <c r="H5" i="19"/>
  <c r="H4" i="19"/>
  <c r="I3" i="19"/>
  <c r="H2" i="19"/>
  <c r="E16" i="31"/>
  <c r="E190" i="27"/>
  <c r="E194" i="27" s="1"/>
  <c r="E189" i="27"/>
  <c r="E188" i="27"/>
  <c r="E155" i="27"/>
  <c r="E156" i="27" s="1"/>
  <c r="F98" i="27"/>
  <c r="G82" i="27" s="1"/>
  <c r="E78" i="27"/>
  <c r="J88" i="27" s="1"/>
  <c r="F57" i="27"/>
  <c r="F52" i="27"/>
  <c r="F64" i="27" s="1"/>
  <c r="F66" i="27" s="1"/>
  <c r="F44" i="27"/>
  <c r="U28" i="27"/>
  <c r="R28" i="27"/>
  <c r="U27" i="27"/>
  <c r="R27" i="27"/>
  <c r="U26" i="27"/>
  <c r="R26" i="27"/>
  <c r="I5" i="16"/>
  <c r="I4" i="16"/>
  <c r="J97" i="27" l="1"/>
  <c r="E123" i="27" s="1"/>
  <c r="E114" i="27"/>
  <c r="E135" i="27"/>
  <c r="J83" i="27"/>
  <c r="E130" i="27" s="1"/>
  <c r="J96" i="27"/>
  <c r="J82" i="27"/>
  <c r="J91" i="27"/>
  <c r="G96" i="27"/>
  <c r="G91" i="27"/>
  <c r="J95" i="27"/>
  <c r="J94" i="27"/>
  <c r="J93" i="27"/>
  <c r="G94" i="27"/>
  <c r="G95" i="27"/>
  <c r="G92" i="27"/>
  <c r="G93" i="27"/>
  <c r="J85" i="27"/>
  <c r="E132" i="27" s="1"/>
  <c r="J92" i="27"/>
  <c r="J90" i="27"/>
  <c r="J89" i="27"/>
  <c r="G89" i="27"/>
  <c r="G90" i="27"/>
  <c r="E178" i="27"/>
  <c r="J87" i="27"/>
  <c r="J86" i="27"/>
  <c r="G86" i="27"/>
  <c r="G87" i="27"/>
  <c r="J81" i="27"/>
  <c r="E107" i="27" s="1"/>
  <c r="J84" i="27"/>
  <c r="G98" i="27"/>
  <c r="G81" i="27"/>
  <c r="F99" i="27"/>
  <c r="K82" i="27" s="1"/>
  <c r="G84" i="27"/>
  <c r="G83" i="27"/>
  <c r="G85" i="27"/>
  <c r="G97" i="27"/>
  <c r="G88" i="27"/>
  <c r="E144" i="27" l="1"/>
  <c r="E118" i="27"/>
  <c r="E139" i="27"/>
  <c r="E120" i="27"/>
  <c r="E141" i="27"/>
  <c r="E117" i="27"/>
  <c r="E138" i="27"/>
  <c r="E110" i="27"/>
  <c r="E131" i="27"/>
  <c r="E121" i="27"/>
  <c r="E142" i="27"/>
  <c r="E129" i="27"/>
  <c r="I129" i="27" s="1"/>
  <c r="E108" i="27"/>
  <c r="I108" i="27" s="1"/>
  <c r="E112" i="27"/>
  <c r="E133" i="27"/>
  <c r="E113" i="27"/>
  <c r="E134" i="27"/>
  <c r="E115" i="27"/>
  <c r="E136" i="27"/>
  <c r="E122" i="27"/>
  <c r="E143" i="27"/>
  <c r="E116" i="27"/>
  <c r="E137" i="27"/>
  <c r="E119" i="27"/>
  <c r="E140" i="27"/>
  <c r="E161" i="27"/>
  <c r="E111" i="27"/>
  <c r="E109" i="27"/>
  <c r="K96" i="27"/>
  <c r="K91" i="27"/>
  <c r="K94" i="27"/>
  <c r="K95" i="27"/>
  <c r="K92" i="27"/>
  <c r="K93" i="27"/>
  <c r="K89" i="27"/>
  <c r="K90" i="27"/>
  <c r="K86" i="27"/>
  <c r="K87" i="27"/>
  <c r="E128" i="27"/>
  <c r="K83" i="27"/>
  <c r="I130" i="27" s="1"/>
  <c r="K81" i="27"/>
  <c r="I107" i="27" s="1"/>
  <c r="K88" i="27"/>
  <c r="K84" i="27"/>
  <c r="K97" i="27"/>
  <c r="K85" i="27"/>
  <c r="I132" i="27" s="1"/>
  <c r="E166" i="27" l="1"/>
  <c r="I134" i="27"/>
  <c r="E172" i="27"/>
  <c r="I140" i="27"/>
  <c r="E170" i="27"/>
  <c r="I138" i="27"/>
  <c r="I110" i="27"/>
  <c r="I131" i="27"/>
  <c r="I114" i="27"/>
  <c r="I135" i="27"/>
  <c r="E165" i="27"/>
  <c r="I133" i="27"/>
  <c r="E171" i="27"/>
  <c r="I139" i="27"/>
  <c r="E175" i="27"/>
  <c r="I143" i="27"/>
  <c r="E169" i="27"/>
  <c r="I137" i="27"/>
  <c r="E174" i="27"/>
  <c r="I142" i="27"/>
  <c r="E176" i="27"/>
  <c r="I144" i="27"/>
  <c r="E168" i="27"/>
  <c r="I136" i="27"/>
  <c r="E173" i="27"/>
  <c r="I141" i="27"/>
  <c r="I115" i="27"/>
  <c r="I113" i="27"/>
  <c r="I120" i="27"/>
  <c r="I119" i="27"/>
  <c r="I118" i="27"/>
  <c r="I121" i="27"/>
  <c r="I116" i="27"/>
  <c r="I111" i="27"/>
  <c r="I117" i="27"/>
  <c r="I109" i="27"/>
  <c r="I122" i="27"/>
  <c r="I112" i="27"/>
  <c r="I123" i="27"/>
  <c r="E164" i="27"/>
  <c r="E160" i="27"/>
  <c r="K98" i="27"/>
  <c r="I128" i="27"/>
  <c r="E162" i="27"/>
  <c r="E163" i="27"/>
  <c r="E167" i="27"/>
  <c r="I145" i="27" l="1"/>
  <c r="E177" i="27"/>
  <c r="K99" i="27"/>
  <c r="I124" i="27"/>
  <c r="E149" i="27" s="1"/>
  <c r="E183" i="27" l="1"/>
  <c r="E193" i="27" s="1"/>
  <c r="E182" i="27"/>
  <c r="E192" i="27" s="1"/>
  <c r="T26" i="27" l="1"/>
  <c r="E16" i="24" s="1"/>
  <c r="G20" i="24" s="1"/>
  <c r="E195" i="27"/>
  <c r="T27" i="27" s="1"/>
  <c r="G22" i="24" s="1"/>
  <c r="E16" i="33" s="1"/>
  <c r="E15" i="30" l="1"/>
  <c r="E15" i="31"/>
  <c r="G23" i="24"/>
  <c r="E202" i="27"/>
  <c r="T28" i="27" s="1"/>
  <c r="G50" i="33" l="1"/>
  <c r="N50" i="33" s="1"/>
  <c r="F16" i="32"/>
  <c r="G36" i="32" s="1"/>
  <c r="N36" i="32" s="1"/>
  <c r="S36" i="32" s="1"/>
  <c r="Y36" i="32" s="1"/>
  <c r="F60" i="30"/>
  <c r="M60" i="30" s="1"/>
  <c r="G63" i="33"/>
  <c r="N63" i="33" s="1"/>
  <c r="G52" i="33"/>
  <c r="N52" i="33" s="1"/>
  <c r="G24" i="33"/>
  <c r="N24" i="33" s="1"/>
  <c r="G40" i="33" l="1"/>
  <c r="N40" i="33" s="1"/>
  <c r="G28" i="33"/>
  <c r="N28" i="33" s="1"/>
  <c r="G70" i="33"/>
  <c r="N70" i="33" s="1"/>
  <c r="S70" i="33" s="1"/>
  <c r="G42" i="33"/>
  <c r="N42" i="33" s="1"/>
  <c r="S42" i="33" s="1"/>
  <c r="Y42" i="33" s="1"/>
  <c r="G27" i="33"/>
  <c r="N27" i="33" s="1"/>
  <c r="G69" i="33"/>
  <c r="N69" i="33" s="1"/>
  <c r="S40" i="33"/>
  <c r="Y40" i="33" s="1"/>
  <c r="R60" i="30"/>
  <c r="X60" i="30" s="1"/>
  <c r="G55" i="32"/>
  <c r="N55" i="32" s="1"/>
  <c r="G57" i="32"/>
  <c r="N57" i="32" s="1"/>
  <c r="G58" i="32"/>
  <c r="N58" i="32" s="1"/>
  <c r="G56" i="32"/>
  <c r="N56" i="32" s="1"/>
  <c r="G24" i="32"/>
  <c r="N24" i="32" s="1"/>
  <c r="F37" i="30"/>
  <c r="M37" i="30" s="1"/>
  <c r="F30" i="30"/>
  <c r="M30" i="30" s="1"/>
  <c r="F66" i="30"/>
  <c r="M66" i="30" s="1"/>
  <c r="F36" i="30"/>
  <c r="M36" i="30" s="1"/>
  <c r="F43" i="30"/>
  <c r="M43" i="30" s="1"/>
  <c r="R43" i="30" s="1"/>
  <c r="X43" i="30" s="1"/>
  <c r="F64" i="30"/>
  <c r="M64" i="30" s="1"/>
  <c r="F49" i="30"/>
  <c r="M49" i="30" s="1"/>
  <c r="F53" i="30"/>
  <c r="M53" i="30" s="1"/>
  <c r="F47" i="30"/>
  <c r="M47" i="30" s="1"/>
  <c r="F31" i="30"/>
  <c r="M31" i="30" s="1"/>
  <c r="F51" i="30"/>
  <c r="M51" i="30" s="1"/>
  <c r="F62" i="30"/>
  <c r="M62" i="30" s="1"/>
  <c r="F28" i="30"/>
  <c r="M28" i="30" s="1"/>
  <c r="F59" i="30"/>
  <c r="M59" i="30" s="1"/>
  <c r="R59" i="30" s="1"/>
  <c r="X59" i="30" s="1"/>
  <c r="F50" i="30"/>
  <c r="M50" i="30" s="1"/>
  <c r="F26" i="30"/>
  <c r="M26" i="30" s="1"/>
  <c r="F27" i="30"/>
  <c r="M27" i="30" s="1"/>
  <c r="F57" i="30"/>
  <c r="M57" i="30" s="1"/>
  <c r="F41" i="30"/>
  <c r="M41" i="30" s="1"/>
  <c r="F48" i="30"/>
  <c r="M48" i="30" s="1"/>
  <c r="F22" i="30"/>
  <c r="F52" i="30"/>
  <c r="M52" i="30" s="1"/>
  <c r="F24" i="30"/>
  <c r="M24" i="30" s="1"/>
  <c r="F46" i="30"/>
  <c r="M46" i="30" s="1"/>
  <c r="F45" i="30"/>
  <c r="M45" i="30" s="1"/>
  <c r="F55" i="30"/>
  <c r="M55" i="30" s="1"/>
  <c r="F58" i="30"/>
  <c r="M58" i="30" s="1"/>
  <c r="F23" i="30"/>
  <c r="M23" i="30" s="1"/>
  <c r="F33" i="30"/>
  <c r="M33" i="30" s="1"/>
  <c r="F39" i="30"/>
  <c r="M39" i="30" s="1"/>
  <c r="F56" i="30"/>
  <c r="M56" i="30" s="1"/>
  <c r="F68" i="30"/>
  <c r="M68" i="30" s="1"/>
  <c r="F38" i="30"/>
  <c r="M38" i="30" s="1"/>
  <c r="F65" i="30"/>
  <c r="M65" i="30" s="1"/>
  <c r="F42" i="30"/>
  <c r="M42" i="30" s="1"/>
  <c r="F35" i="30"/>
  <c r="M35" i="30" s="1"/>
  <c r="G37" i="33"/>
  <c r="N37" i="33" s="1"/>
  <c r="G48" i="33"/>
  <c r="N48" i="33" s="1"/>
  <c r="G39" i="33"/>
  <c r="N39" i="33" s="1"/>
  <c r="G41" i="33"/>
  <c r="N41" i="33" s="1"/>
  <c r="G57" i="33"/>
  <c r="N57" i="33" s="1"/>
  <c r="G60" i="33"/>
  <c r="N60" i="33" s="1"/>
  <c r="G35" i="33"/>
  <c r="N35" i="33" s="1"/>
  <c r="G59" i="33"/>
  <c r="N59" i="33" s="1"/>
  <c r="G38" i="33"/>
  <c r="N38" i="33" s="1"/>
  <c r="G65" i="33"/>
  <c r="N65" i="33" s="1"/>
  <c r="G68" i="33"/>
  <c r="N68" i="33" s="1"/>
  <c r="G25" i="33"/>
  <c r="N25" i="33" s="1"/>
  <c r="G47" i="33"/>
  <c r="N47" i="33" s="1"/>
  <c r="G30" i="33"/>
  <c r="N30" i="33" s="1"/>
  <c r="G66" i="33"/>
  <c r="N66" i="33" s="1"/>
  <c r="G33" i="33"/>
  <c r="N33" i="33" s="1"/>
  <c r="G36" i="33"/>
  <c r="N36" i="33" s="1"/>
  <c r="G44" i="33"/>
  <c r="N44" i="33" s="1"/>
  <c r="G31" i="33"/>
  <c r="N31" i="33" s="1"/>
  <c r="G46" i="33"/>
  <c r="N46" i="33" s="1"/>
  <c r="G45" i="33"/>
  <c r="N45" i="33" s="1"/>
  <c r="G56" i="33"/>
  <c r="N56" i="33" s="1"/>
  <c r="G67" i="33"/>
  <c r="N67" i="33" s="1"/>
  <c r="G58" i="33"/>
  <c r="N58" i="33" s="1"/>
  <c r="G55" i="33"/>
  <c r="N55" i="33" s="1"/>
  <c r="G54" i="33"/>
  <c r="N54" i="33" s="1"/>
  <c r="G23" i="33"/>
  <c r="N23" i="33" s="1"/>
  <c r="G26" i="33"/>
  <c r="N26" i="33" s="1"/>
  <c r="G53" i="33"/>
  <c r="N53" i="33" s="1"/>
  <c r="F40" i="31"/>
  <c r="M40" i="31" s="1"/>
  <c r="F31" i="31"/>
  <c r="M31" i="31" s="1"/>
  <c r="R31" i="31" s="1"/>
  <c r="X31" i="31" s="1"/>
  <c r="G64" i="33"/>
  <c r="N64" i="33" s="1"/>
  <c r="G32" i="33"/>
  <c r="N32" i="33" s="1"/>
  <c r="G43" i="33"/>
  <c r="N43" i="33" s="1"/>
  <c r="G34" i="33"/>
  <c r="N34" i="33" s="1"/>
  <c r="G61" i="33"/>
  <c r="N61" i="33" s="1"/>
  <c r="G29" i="33"/>
  <c r="N29" i="33" s="1"/>
  <c r="G49" i="33"/>
  <c r="N49" i="33" s="1"/>
  <c r="G51" i="33"/>
  <c r="N51" i="33" s="1"/>
  <c r="G62" i="33"/>
  <c r="N62" i="33" s="1"/>
  <c r="S69" i="33"/>
  <c r="S24" i="33"/>
  <c r="Y24" i="33" s="1"/>
  <c r="F63" i="30"/>
  <c r="M63" i="30" s="1"/>
  <c r="F67" i="30"/>
  <c r="M67" i="30" s="1"/>
  <c r="F29" i="30"/>
  <c r="M29" i="30" s="1"/>
  <c r="F69" i="30"/>
  <c r="M69" i="30" s="1"/>
  <c r="F61" i="30"/>
  <c r="M61" i="30" s="1"/>
  <c r="F34" i="30"/>
  <c r="M34" i="30" s="1"/>
  <c r="F44" i="30"/>
  <c r="M44" i="30" s="1"/>
  <c r="F25" i="30"/>
  <c r="M25" i="30" s="1"/>
  <c r="F32" i="30"/>
  <c r="M32" i="30" s="1"/>
  <c r="G37" i="32"/>
  <c r="N37" i="32" s="1"/>
  <c r="G70" i="32"/>
  <c r="N70" i="32" s="1"/>
  <c r="G45" i="32"/>
  <c r="N45" i="32" s="1"/>
  <c r="G59" i="32"/>
  <c r="N59" i="32" s="1"/>
  <c r="G52" i="32"/>
  <c r="N52" i="32" s="1"/>
  <c r="G49" i="32"/>
  <c r="N49" i="32" s="1"/>
  <c r="G44" i="32"/>
  <c r="N44" i="32" s="1"/>
  <c r="G65" i="32"/>
  <c r="N65" i="32" s="1"/>
  <c r="G27" i="32"/>
  <c r="N27" i="32" s="1"/>
  <c r="G35" i="32"/>
  <c r="N35" i="32" s="1"/>
  <c r="G30" i="32"/>
  <c r="N30" i="32" s="1"/>
  <c r="G34" i="32"/>
  <c r="N34" i="32" s="1"/>
  <c r="G60" i="32"/>
  <c r="N60" i="32" s="1"/>
  <c r="G63" i="32"/>
  <c r="N63" i="32" s="1"/>
  <c r="G47" i="32"/>
  <c r="N47" i="32" s="1"/>
  <c r="G31" i="32"/>
  <c r="N31" i="32" s="1"/>
  <c r="G38" i="32"/>
  <c r="N38" i="32" s="1"/>
  <c r="G68" i="32"/>
  <c r="N68" i="32" s="1"/>
  <c r="G39" i="32"/>
  <c r="N39" i="32" s="1"/>
  <c r="G26" i="32"/>
  <c r="N26" i="32" s="1"/>
  <c r="G46" i="32"/>
  <c r="N46" i="32" s="1"/>
  <c r="G43" i="32"/>
  <c r="N43" i="32" s="1"/>
  <c r="G41" i="32"/>
  <c r="N41" i="32" s="1"/>
  <c r="G48" i="32"/>
  <c r="N48" i="32" s="1"/>
  <c r="G33" i="32"/>
  <c r="N33" i="32" s="1"/>
  <c r="G67" i="32"/>
  <c r="N67" i="32" s="1"/>
  <c r="G50" i="32"/>
  <c r="N50" i="32" s="1"/>
  <c r="G51" i="32"/>
  <c r="N51" i="32" s="1"/>
  <c r="G32" i="32"/>
  <c r="N32" i="32" s="1"/>
  <c r="G25" i="32"/>
  <c r="N25" i="32" s="1"/>
  <c r="G66" i="32"/>
  <c r="N66" i="32" s="1"/>
  <c r="G62" i="32"/>
  <c r="N62" i="32" s="1"/>
  <c r="G53" i="32"/>
  <c r="N53" i="32" s="1"/>
  <c r="G69" i="32"/>
  <c r="N69" i="32" s="1"/>
  <c r="G42" i="32"/>
  <c r="N42" i="32" s="1"/>
  <c r="G40" i="32"/>
  <c r="N40" i="32" s="1"/>
  <c r="G29" i="32"/>
  <c r="N29" i="32" s="1"/>
  <c r="G61" i="32"/>
  <c r="N61" i="32" s="1"/>
  <c r="G54" i="32"/>
  <c r="N54" i="32" s="1"/>
  <c r="G28" i="32"/>
  <c r="N28" i="32" s="1"/>
  <c r="G23" i="32"/>
  <c r="G64" i="32"/>
  <c r="N64" i="32" s="1"/>
  <c r="F40" i="30"/>
  <c r="M40" i="30" s="1"/>
  <c r="F54" i="30"/>
  <c r="M54" i="30" s="1"/>
  <c r="F53" i="31"/>
  <c r="M53" i="31" s="1"/>
  <c r="F22" i="31"/>
  <c r="M22" i="31" s="1"/>
  <c r="F61" i="31"/>
  <c r="M61" i="31" s="1"/>
  <c r="F44" i="31"/>
  <c r="M44" i="31" s="1"/>
  <c r="F58" i="31"/>
  <c r="M58" i="31" s="1"/>
  <c r="F33" i="31"/>
  <c r="M33" i="31" s="1"/>
  <c r="F69" i="31"/>
  <c r="M69" i="31" s="1"/>
  <c r="F29" i="31"/>
  <c r="M29" i="31" s="1"/>
  <c r="F36" i="31"/>
  <c r="M36" i="31" s="1"/>
  <c r="F34" i="31"/>
  <c r="M34" i="31" s="1"/>
  <c r="F56" i="31"/>
  <c r="M56" i="31" s="1"/>
  <c r="F62" i="31"/>
  <c r="M62" i="31" s="1"/>
  <c r="F63" i="31"/>
  <c r="M63" i="31" s="1"/>
  <c r="F28" i="31"/>
  <c r="M28" i="31" s="1"/>
  <c r="F54" i="31"/>
  <c r="M54" i="31" s="1"/>
  <c r="F64" i="31"/>
  <c r="M64" i="31" s="1"/>
  <c r="F23" i="31"/>
  <c r="M23" i="31" s="1"/>
  <c r="F41" i="31"/>
  <c r="M41" i="31" s="1"/>
  <c r="F32" i="31"/>
  <c r="M32" i="31" s="1"/>
  <c r="F65" i="31"/>
  <c r="M65" i="31" s="1"/>
  <c r="F38" i="31"/>
  <c r="M38" i="31" s="1"/>
  <c r="F67" i="31"/>
  <c r="M67" i="31" s="1"/>
  <c r="F45" i="31"/>
  <c r="M45" i="31" s="1"/>
  <c r="F43" i="31"/>
  <c r="M43" i="31" s="1"/>
  <c r="F49" i="31"/>
  <c r="M49" i="31" s="1"/>
  <c r="F66" i="31"/>
  <c r="M66" i="31" s="1"/>
  <c r="F42" i="31"/>
  <c r="M42" i="31" s="1"/>
  <c r="F25" i="31"/>
  <c r="M25" i="31" s="1"/>
  <c r="R25" i="31" s="1"/>
  <c r="X25" i="31" s="1"/>
  <c r="F35" i="31"/>
  <c r="M35" i="31" s="1"/>
  <c r="F47" i="31"/>
  <c r="M47" i="31" s="1"/>
  <c r="F59" i="31"/>
  <c r="M59" i="31" s="1"/>
  <c r="F27" i="31"/>
  <c r="M27" i="31" s="1"/>
  <c r="F60" i="31"/>
  <c r="M60" i="31" s="1"/>
  <c r="F39" i="31"/>
  <c r="M39" i="31" s="1"/>
  <c r="F37" i="31"/>
  <c r="M37" i="31" s="1"/>
  <c r="F68" i="31"/>
  <c r="M68" i="31" s="1"/>
  <c r="F52" i="31"/>
  <c r="M52" i="31" s="1"/>
  <c r="R52" i="31" s="1"/>
  <c r="X52" i="31" s="1"/>
  <c r="F55" i="31"/>
  <c r="M55" i="31" s="1"/>
  <c r="R55" i="31" s="1"/>
  <c r="X55" i="31" s="1"/>
  <c r="F26" i="31"/>
  <c r="M26" i="31" s="1"/>
  <c r="F24" i="31"/>
  <c r="M24" i="31" s="1"/>
  <c r="F46" i="31"/>
  <c r="M46" i="31" s="1"/>
  <c r="F50" i="31"/>
  <c r="M50" i="31" s="1"/>
  <c r="F48" i="31"/>
  <c r="M48" i="31" s="1"/>
  <c r="R48" i="31" s="1"/>
  <c r="X48" i="31" s="1"/>
  <c r="F30" i="31"/>
  <c r="M30" i="31" s="1"/>
  <c r="F51" i="31"/>
  <c r="M51" i="31" s="1"/>
  <c r="F57" i="31"/>
  <c r="M57" i="31" s="1"/>
  <c r="R35" i="31" l="1"/>
  <c r="X35" i="31" s="1"/>
  <c r="R43" i="31"/>
  <c r="X43" i="31" s="1"/>
  <c r="R35" i="30"/>
  <c r="X35" i="30" s="1"/>
  <c r="S44" i="32"/>
  <c r="Y44" i="32" s="1"/>
  <c r="M22" i="30"/>
  <c r="F70" i="30"/>
  <c r="R41" i="30"/>
  <c r="X41" i="30"/>
  <c r="R39" i="30"/>
  <c r="X39" i="30"/>
  <c r="R64" i="30"/>
  <c r="X64" i="30" s="1"/>
  <c r="R33" i="30"/>
  <c r="X33" i="30"/>
  <c r="R36" i="30"/>
  <c r="X36" i="30"/>
  <c r="R38" i="30"/>
  <c r="X38" i="30"/>
  <c r="R63" i="30"/>
  <c r="X63" i="30" s="1"/>
  <c r="R44" i="30"/>
  <c r="X44" i="30" s="1"/>
  <c r="R45" i="30"/>
  <c r="X45" i="30"/>
  <c r="R28" i="30"/>
  <c r="X28" i="30" s="1"/>
  <c r="R62" i="30"/>
  <c r="X62" i="30"/>
  <c r="R40" i="30"/>
  <c r="X40" i="30" s="1"/>
  <c r="R69" i="30"/>
  <c r="X69" i="30" s="1"/>
  <c r="R58" i="31"/>
  <c r="X58" i="31" s="1"/>
  <c r="R51" i="31"/>
  <c r="X51" i="31" s="1"/>
  <c r="R65" i="31"/>
  <c r="X65" i="31" s="1"/>
  <c r="R54" i="31"/>
  <c r="X54" i="31"/>
  <c r="R61" i="31"/>
  <c r="X61" i="31" s="1"/>
  <c r="R60" i="31"/>
  <c r="X60" i="31" s="1"/>
  <c r="R46" i="31"/>
  <c r="X46" i="31" s="1"/>
  <c r="R23" i="31"/>
  <c r="X23" i="31" s="1"/>
  <c r="R24" i="31"/>
  <c r="X24" i="31" s="1"/>
  <c r="R66" i="31"/>
  <c r="X66" i="31" s="1"/>
  <c r="R22" i="31"/>
  <c r="X22" i="31"/>
  <c r="R49" i="31"/>
  <c r="X49" i="31"/>
  <c r="R53" i="31"/>
  <c r="X53" i="31" s="1"/>
  <c r="R69" i="31"/>
  <c r="X69" i="31" s="1"/>
  <c r="R50" i="31"/>
  <c r="X50" i="31" s="1"/>
  <c r="R47" i="31"/>
  <c r="X47" i="31" s="1"/>
  <c r="R63" i="31"/>
  <c r="X63" i="31" s="1"/>
  <c r="R34" i="31"/>
  <c r="X34" i="31" s="1"/>
  <c r="Y69" i="33"/>
  <c r="Y70" i="33"/>
  <c r="S55" i="32"/>
  <c r="Y55" i="32" s="1"/>
  <c r="S61" i="32"/>
  <c r="Y61" i="32" s="1"/>
  <c r="S25" i="32"/>
  <c r="Y25" i="32" s="1"/>
  <c r="S49" i="32"/>
  <c r="Y49" i="32" s="1"/>
  <c r="S56" i="33"/>
  <c r="Y56" i="33" s="1"/>
  <c r="S52" i="32"/>
  <c r="Y52" i="32" s="1"/>
  <c r="R47" i="30"/>
  <c r="X47" i="30" s="1"/>
  <c r="S40" i="32"/>
  <c r="Y40" i="32" s="1"/>
  <c r="S59" i="32"/>
  <c r="Y59" i="32" s="1"/>
  <c r="S46" i="33"/>
  <c r="Y46" i="33" s="1"/>
  <c r="R48" i="30"/>
  <c r="X48" i="30" s="1"/>
  <c r="R49" i="30"/>
  <c r="X49" i="30" s="1"/>
  <c r="S67" i="32"/>
  <c r="Y67" i="32" s="1"/>
  <c r="S60" i="33"/>
  <c r="Y60" i="33" s="1"/>
  <c r="S57" i="33"/>
  <c r="Y57" i="33" s="1"/>
  <c r="S56" i="32"/>
  <c r="Y56" i="32" s="1"/>
  <c r="S34" i="32"/>
  <c r="Y34" i="32" s="1"/>
  <c r="S26" i="33"/>
  <c r="Y26" i="33" s="1"/>
  <c r="S66" i="33"/>
  <c r="Y66" i="33" s="1"/>
  <c r="R66" i="30"/>
  <c r="X66" i="30" s="1"/>
  <c r="S64" i="32"/>
  <c r="Y64" i="32" s="1"/>
  <c r="S35" i="32"/>
  <c r="Y35" i="32" s="1"/>
  <c r="S54" i="33"/>
  <c r="Y54" i="33" s="1"/>
  <c r="R55" i="30"/>
  <c r="X55" i="30" s="1"/>
  <c r="S32" i="32"/>
  <c r="Y32" i="32" s="1"/>
  <c r="S38" i="33"/>
  <c r="Y38" i="33" s="1"/>
  <c r="R22" i="30"/>
  <c r="X22" i="30" s="1"/>
  <c r="R53" i="30"/>
  <c r="X53" i="30"/>
  <c r="S70" i="32"/>
  <c r="Y70" i="32" s="1"/>
  <c r="S60" i="32"/>
  <c r="Y60" i="32" s="1"/>
  <c r="S41" i="33"/>
  <c r="Y41" i="33" s="1"/>
  <c r="R25" i="30"/>
  <c r="X25" i="30" s="1"/>
  <c r="S53" i="32"/>
  <c r="Y53" i="32" s="1"/>
  <c r="S46" i="32"/>
  <c r="Y46" i="32"/>
  <c r="S27" i="32"/>
  <c r="Y27" i="32" s="1"/>
  <c r="S55" i="33"/>
  <c r="Y55" i="33" s="1"/>
  <c r="S37" i="33"/>
  <c r="Y37" i="33" s="1"/>
  <c r="R65" i="30"/>
  <c r="X65" i="30" s="1"/>
  <c r="S42" i="32"/>
  <c r="Y42" i="32" s="1"/>
  <c r="S47" i="32"/>
  <c r="Y47" i="32" s="1"/>
  <c r="S48" i="32"/>
  <c r="Y48" i="32" s="1"/>
  <c r="S23" i="33"/>
  <c r="Y23" i="33" s="1"/>
  <c r="R50" i="30"/>
  <c r="X50" i="30" s="1"/>
  <c r="S62" i="32"/>
  <c r="Y62" i="32" s="1"/>
  <c r="S26" i="32"/>
  <c r="Y26" i="32" s="1"/>
  <c r="S65" i="32"/>
  <c r="Y65" i="32" s="1"/>
  <c r="R61" i="30"/>
  <c r="X61" i="30" s="1"/>
  <c r="S61" i="33"/>
  <c r="Y61" i="33" s="1"/>
  <c r="S58" i="33"/>
  <c r="Y58" i="33" s="1"/>
  <c r="S25" i="33"/>
  <c r="Y25" i="33" s="1"/>
  <c r="R46" i="30"/>
  <c r="X46" i="30" s="1"/>
  <c r="S24" i="32"/>
  <c r="Y24" i="32"/>
  <c r="S43" i="33"/>
  <c r="Y43" i="33" s="1"/>
  <c r="R52" i="30"/>
  <c r="X52" i="30" s="1"/>
  <c r="S51" i="32"/>
  <c r="Y51" i="32"/>
  <c r="S59" i="33"/>
  <c r="Y59" i="33" s="1"/>
  <c r="S50" i="32"/>
  <c r="Y50" i="32" s="1"/>
  <c r="R54" i="30"/>
  <c r="X54" i="30" s="1"/>
  <c r="S37" i="32"/>
  <c r="Y37" i="32" s="1"/>
  <c r="S62" i="33"/>
  <c r="Y62" i="33" s="1"/>
  <c r="R23" i="30"/>
  <c r="X23" i="30" s="1"/>
  <c r="S39" i="33"/>
  <c r="Y39" i="33" s="1"/>
  <c r="R58" i="30"/>
  <c r="X58" i="30" s="1"/>
  <c r="S54" i="32"/>
  <c r="Y54" i="32" s="1"/>
  <c r="S66" i="32"/>
  <c r="Y66" i="32" s="1"/>
  <c r="S39" i="32"/>
  <c r="Y39" i="32" s="1"/>
  <c r="S34" i="33"/>
  <c r="Y34" i="33" s="1"/>
  <c r="S67" i="33"/>
  <c r="Y67" i="33" s="1"/>
  <c r="S68" i="33"/>
  <c r="Y68" i="33" s="1"/>
  <c r="R24" i="30"/>
  <c r="R51" i="30"/>
  <c r="X51" i="30" s="1"/>
  <c r="S48" i="33"/>
  <c r="Y48" i="33" s="1"/>
  <c r="S47" i="33"/>
  <c r="Y47" i="33" s="1"/>
  <c r="G71" i="33"/>
  <c r="R40" i="31"/>
  <c r="X40" i="31" s="1"/>
  <c r="S51" i="33"/>
  <c r="Y51" i="33" s="1"/>
  <c r="R59" i="31"/>
  <c r="X59" i="31" s="1"/>
  <c r="R64" i="31"/>
  <c r="X64" i="31" s="1"/>
  <c r="N23" i="32"/>
  <c r="G71" i="32"/>
  <c r="S41" i="32"/>
  <c r="Y41" i="32" s="1"/>
  <c r="R45" i="31"/>
  <c r="X45" i="31" s="1"/>
  <c r="R38" i="31"/>
  <c r="X38" i="31" s="1"/>
  <c r="R33" i="31"/>
  <c r="X33" i="31" s="1"/>
  <c r="R39" i="31"/>
  <c r="X39" i="31" s="1"/>
  <c r="R36" i="31"/>
  <c r="X36" i="31" s="1"/>
  <c r="R41" i="31"/>
  <c r="X41" i="31" s="1"/>
  <c r="N71" i="33"/>
  <c r="I15" i="33"/>
  <c r="D24" i="22" s="1"/>
  <c r="M70" i="30"/>
  <c r="H14" i="30"/>
  <c r="D21" i="22" s="1"/>
  <c r="F70" i="31"/>
  <c r="H15" i="30" l="1"/>
  <c r="E21" i="22" s="1"/>
  <c r="G21" i="22" s="1"/>
  <c r="J21" i="22" s="1"/>
  <c r="R70" i="30"/>
  <c r="X24" i="30"/>
  <c r="H16" i="30" s="1"/>
  <c r="F21" i="22" s="1"/>
  <c r="S71" i="33"/>
  <c r="S23" i="32"/>
  <c r="Y23" i="32" s="1"/>
  <c r="I15" i="32"/>
  <c r="D23" i="22" s="1"/>
  <c r="N71" i="32"/>
  <c r="I17" i="33"/>
  <c r="F24" i="22" s="1"/>
  <c r="I16" i="33"/>
  <c r="E24" i="22" s="1"/>
  <c r="R70" i="31"/>
  <c r="M70" i="31"/>
  <c r="H14" i="31"/>
  <c r="D22" i="22" s="1"/>
  <c r="H21" i="22" l="1"/>
  <c r="K21" i="22" s="1"/>
  <c r="X70" i="30"/>
  <c r="H16" i="31"/>
  <c r="F22" i="22" s="1"/>
  <c r="I21" i="22"/>
  <c r="Y71" i="33"/>
  <c r="S71" i="32"/>
  <c r="I16" i="32"/>
  <c r="E23" i="22" s="1"/>
  <c r="H24" i="22"/>
  <c r="K24" i="22" s="1"/>
  <c r="G24" i="22"/>
  <c r="J24" i="22" s="1"/>
  <c r="H15" i="31"/>
  <c r="E22" i="22" s="1"/>
  <c r="G22" i="22" l="1"/>
  <c r="J22" i="22" s="1"/>
  <c r="I24" i="22"/>
  <c r="G23" i="22"/>
  <c r="J23" i="22" s="1"/>
  <c r="I17" i="32"/>
  <c r="F23" i="22" s="1"/>
  <c r="Y71" i="32"/>
  <c r="H22" i="22"/>
  <c r="K22" i="22" s="1"/>
  <c r="I22" i="22" l="1"/>
  <c r="I23" i="22"/>
  <c r="H23" i="22"/>
  <c r="K23" i="22" s="1"/>
  <c r="G48" i="24" l="1"/>
  <c r="E20" i="24" s="1"/>
  <c r="F20" i="24" s="1"/>
  <c r="I41" i="24" s="1"/>
  <c r="J41" i="24" s="1"/>
  <c r="I42" i="24" l="1"/>
  <c r="J42" i="24" s="1"/>
  <c r="I43" i="24"/>
  <c r="J43" i="24" s="1"/>
  <c r="I31" i="24"/>
  <c r="J31" i="24" s="1"/>
  <c r="I36" i="24"/>
  <c r="J36" i="24" s="1"/>
  <c r="I33" i="24"/>
  <c r="J33" i="24" s="1"/>
  <c r="I34" i="24"/>
  <c r="J34" i="24" s="1"/>
  <c r="I39" i="24"/>
  <c r="J39" i="24" s="1"/>
  <c r="I35" i="24"/>
  <c r="J35" i="24" s="1"/>
  <c r="I44" i="24"/>
  <c r="J44" i="24" s="1"/>
  <c r="I32" i="24"/>
  <c r="J32" i="24" s="1"/>
  <c r="I38" i="24"/>
  <c r="J38" i="24" s="1"/>
  <c r="I40" i="24"/>
  <c r="J40" i="24" s="1"/>
  <c r="I37" i="24"/>
  <c r="J37" i="24" s="1"/>
  <c r="I45" i="24"/>
  <c r="J45" i="24" s="1"/>
  <c r="J48" i="24" l="1"/>
  <c r="K46" i="24" s="1"/>
  <c r="L46" i="24" s="1"/>
  <c r="E122" i="37" s="1"/>
  <c r="F122" i="37" s="1"/>
  <c r="F123" i="37" s="1"/>
  <c r="F124" i="37" s="1"/>
  <c r="F125" i="37" s="1"/>
  <c r="F127" i="37" s="1"/>
  <c r="F129" i="37" s="1"/>
  <c r="F131" i="37" s="1"/>
  <c r="F133" i="37" s="1"/>
  <c r="F135" i="37" s="1"/>
  <c r="F137" i="37" s="1"/>
  <c r="F139" i="37" s="1"/>
  <c r="F141" i="37" s="1"/>
  <c r="F143" i="37" s="1"/>
  <c r="F145" i="37" s="1"/>
  <c r="F147" i="37" s="1"/>
  <c r="F149" i="37" s="1"/>
  <c r="F151" i="37" s="1"/>
  <c r="F153" i="37" s="1"/>
  <c r="F155" i="37" s="1"/>
  <c r="F157" i="37" s="1"/>
  <c r="F159" i="37" s="1"/>
  <c r="F161" i="37" s="1"/>
  <c r="F163" i="37" s="1"/>
  <c r="F165" i="37" s="1"/>
  <c r="Q123" i="37" l="1"/>
  <c r="K34" i="24"/>
  <c r="L34" i="24" s="1"/>
  <c r="E47" i="37" s="1"/>
  <c r="F47" i="37" s="1"/>
  <c r="Q47" i="37" s="1"/>
  <c r="Q122" i="37"/>
  <c r="AB122" i="37" s="1"/>
  <c r="K36" i="24"/>
  <c r="L36" i="24" s="1"/>
  <c r="E61" i="37" s="1"/>
  <c r="F61" i="37" s="1"/>
  <c r="K44" i="24"/>
  <c r="L44" i="24" s="1"/>
  <c r="E110" i="37" s="1"/>
  <c r="F110" i="37" s="1"/>
  <c r="K41" i="24"/>
  <c r="L41" i="24" s="1"/>
  <c r="E94" i="37" s="1"/>
  <c r="F94" i="37" s="1"/>
  <c r="K42" i="24"/>
  <c r="L42" i="24" s="1"/>
  <c r="E98" i="37" s="1"/>
  <c r="F98" i="37" s="1"/>
  <c r="K33" i="24"/>
  <c r="L33" i="24" s="1"/>
  <c r="E39" i="37" s="1"/>
  <c r="F39" i="37" s="1"/>
  <c r="F40" i="37" s="1"/>
  <c r="F41" i="37" s="1"/>
  <c r="F42" i="37" s="1"/>
  <c r="K35" i="24"/>
  <c r="L35" i="24" s="1"/>
  <c r="E54" i="37" s="1"/>
  <c r="F54" i="37" s="1"/>
  <c r="K40" i="24"/>
  <c r="L40" i="24" s="1"/>
  <c r="E86" i="37" s="1"/>
  <c r="F86" i="37" s="1"/>
  <c r="K38" i="24"/>
  <c r="L38" i="24" s="1"/>
  <c r="E77" i="37" s="1"/>
  <c r="F77" i="37" s="1"/>
  <c r="K32" i="24"/>
  <c r="L32" i="24" s="1"/>
  <c r="E29" i="37" s="1"/>
  <c r="F29" i="37" s="1"/>
  <c r="F30" i="37" s="1"/>
  <c r="F31" i="37" s="1"/>
  <c r="F32" i="37" s="1"/>
  <c r="F33" i="37" s="1"/>
  <c r="K37" i="24"/>
  <c r="L37" i="24" s="1"/>
  <c r="E69" i="37" s="1"/>
  <c r="F69" i="37" s="1"/>
  <c r="K43" i="24"/>
  <c r="L43" i="24" s="1"/>
  <c r="E104" i="37" s="1"/>
  <c r="F104" i="37" s="1"/>
  <c r="Q104" i="37" s="1"/>
  <c r="K31" i="24"/>
  <c r="K45" i="24"/>
  <c r="L45" i="24" s="1"/>
  <c r="E116" i="37" s="1"/>
  <c r="F116" i="37" s="1"/>
  <c r="K39" i="24"/>
  <c r="L39" i="24" s="1"/>
  <c r="E83" i="37" s="1"/>
  <c r="F83" i="37" s="1"/>
  <c r="Q125" i="37" l="1"/>
  <c r="Q124" i="37"/>
  <c r="AB124" i="37" s="1"/>
  <c r="F48" i="37"/>
  <c r="F49" i="37" s="1"/>
  <c r="F126" i="37"/>
  <c r="F128" i="37" s="1"/>
  <c r="F130" i="37" s="1"/>
  <c r="F132" i="37" s="1"/>
  <c r="F134" i="37" s="1"/>
  <c r="F136" i="37" s="1"/>
  <c r="F138" i="37" s="1"/>
  <c r="F140" i="37" s="1"/>
  <c r="F142" i="37" s="1"/>
  <c r="F144" i="37" s="1"/>
  <c r="F146" i="37" s="1"/>
  <c r="F148" i="37" s="1"/>
  <c r="F150" i="37" s="1"/>
  <c r="F152" i="37" s="1"/>
  <c r="F154" i="37" s="1"/>
  <c r="F156" i="37" s="1"/>
  <c r="F158" i="37" s="1"/>
  <c r="F160" i="37" s="1"/>
  <c r="F162" i="37" s="1"/>
  <c r="F164" i="37" s="1"/>
  <c r="F117" i="37"/>
  <c r="Q116" i="37"/>
  <c r="V116" i="37" s="1"/>
  <c r="AB116" i="37" s="1"/>
  <c r="F111" i="37"/>
  <c r="Q110" i="37"/>
  <c r="V110" i="37" s="1"/>
  <c r="AB110" i="37" s="1"/>
  <c r="V104" i="37"/>
  <c r="AB104" i="37" s="1"/>
  <c r="F43" i="37"/>
  <c r="F44" i="37" s="1"/>
  <c r="Q42" i="37"/>
  <c r="Q33" i="37"/>
  <c r="F34" i="37"/>
  <c r="K48" i="24"/>
  <c r="F62" i="37"/>
  <c r="Q62" i="37" s="1"/>
  <c r="Q77" i="37"/>
  <c r="F78" i="37"/>
  <c r="F79" i="37" s="1"/>
  <c r="Q98" i="37"/>
  <c r="F99" i="37"/>
  <c r="F87" i="37"/>
  <c r="Q39" i="37"/>
  <c r="F95" i="37"/>
  <c r="Q94" i="37"/>
  <c r="Q54" i="37"/>
  <c r="F55" i="37"/>
  <c r="F84" i="37"/>
  <c r="Q83" i="37"/>
  <c r="L31" i="24"/>
  <c r="L48" i="24" s="1"/>
  <c r="F105" i="37"/>
  <c r="Q105" i="37" s="1"/>
  <c r="V105" i="37" s="1"/>
  <c r="AB105" i="37" s="1"/>
  <c r="V47" i="37"/>
  <c r="AB47" i="37" s="1"/>
  <c r="F70" i="37"/>
  <c r="Q69" i="37"/>
  <c r="Q29" i="37"/>
  <c r="Q127" i="37" l="1"/>
  <c r="Q126" i="37"/>
  <c r="AB126" i="37" s="1"/>
  <c r="V77" i="37"/>
  <c r="AB77" i="37" s="1"/>
  <c r="F80" i="37"/>
  <c r="Q79" i="37"/>
  <c r="F112" i="37"/>
  <c r="Q111" i="37"/>
  <c r="V111" i="37" s="1"/>
  <c r="AB111" i="37" s="1"/>
  <c r="F118" i="37"/>
  <c r="Q117" i="37"/>
  <c r="V117" i="37" s="1"/>
  <c r="AB117" i="37" s="1"/>
  <c r="F63" i="37"/>
  <c r="Q63" i="37" s="1"/>
  <c r="F35" i="37"/>
  <c r="F36" i="37" s="1"/>
  <c r="F37" i="37" s="1"/>
  <c r="Q34" i="37"/>
  <c r="F45" i="37"/>
  <c r="Q44" i="37"/>
  <c r="F50" i="37"/>
  <c r="V94" i="37"/>
  <c r="AB94" i="37" s="1"/>
  <c r="Q95" i="37"/>
  <c r="F96" i="37"/>
  <c r="Q96" i="37" s="1"/>
  <c r="F85" i="37"/>
  <c r="Q85" i="37" s="1"/>
  <c r="Q84" i="37"/>
  <c r="E22" i="37"/>
  <c r="F22" i="37" s="1"/>
  <c r="V29" i="37"/>
  <c r="AB29" i="37" s="1"/>
  <c r="Q40" i="37"/>
  <c r="V69" i="37"/>
  <c r="AB69" i="37" s="1"/>
  <c r="Q55" i="37"/>
  <c r="F56" i="37"/>
  <c r="F100" i="37"/>
  <c r="Q100" i="37" s="1"/>
  <c r="V100" i="37" s="1"/>
  <c r="AB100" i="37" s="1"/>
  <c r="Q99" i="37"/>
  <c r="Q78" i="37"/>
  <c r="V39" i="37"/>
  <c r="AB39" i="37" s="1"/>
  <c r="V83" i="37"/>
  <c r="AB83" i="37" s="1"/>
  <c r="F88" i="37"/>
  <c r="F71" i="37"/>
  <c r="Q71" i="37" s="1"/>
  <c r="V54" i="37"/>
  <c r="AB54" i="37" s="1"/>
  <c r="V98" i="37"/>
  <c r="AB98" i="37" s="1"/>
  <c r="F106" i="37"/>
  <c r="Q106" i="37" s="1"/>
  <c r="V106" i="37" l="1"/>
  <c r="AB106" i="37" s="1"/>
  <c r="Q129" i="37"/>
  <c r="Q128" i="37"/>
  <c r="AB128" i="37" s="1"/>
  <c r="F64" i="37"/>
  <c r="Q64" i="37" s="1"/>
  <c r="F23" i="37"/>
  <c r="F24" i="37" s="1"/>
  <c r="F25" i="37" s="1"/>
  <c r="F26" i="37" s="1"/>
  <c r="F27" i="37" s="1"/>
  <c r="F28" i="37" s="1"/>
  <c r="F119" i="37"/>
  <c r="Q118" i="37"/>
  <c r="F113" i="37"/>
  <c r="Q112" i="37"/>
  <c r="F81" i="37"/>
  <c r="Q80" i="37"/>
  <c r="F46" i="37"/>
  <c r="Q46" i="37" s="1"/>
  <c r="Q45" i="37"/>
  <c r="F38" i="37"/>
  <c r="Q38" i="37" s="1"/>
  <c r="Q37" i="37"/>
  <c r="V99" i="37"/>
  <c r="AB99" i="37" s="1"/>
  <c r="F72" i="37"/>
  <c r="Q72" i="37" s="1"/>
  <c r="F101" i="37"/>
  <c r="Q101" i="37" s="1"/>
  <c r="F107" i="37"/>
  <c r="Q107" i="37" s="1"/>
  <c r="F65" i="37"/>
  <c r="Q65" i="37" s="1"/>
  <c r="K14" i="37"/>
  <c r="D20" i="22" s="1"/>
  <c r="D25" i="22" s="1"/>
  <c r="E166" i="37"/>
  <c r="V84" i="37"/>
  <c r="AB84" i="37" s="1"/>
  <c r="F97" i="37"/>
  <c r="Q97" i="37" s="1"/>
  <c r="F51" i="37"/>
  <c r="Q51" i="37" s="1"/>
  <c r="V40" i="37"/>
  <c r="AB40" i="37" s="1"/>
  <c r="V78" i="37"/>
  <c r="AB78" i="37" s="1"/>
  <c r="F57" i="37"/>
  <c r="Q56" i="37"/>
  <c r="F89" i="37"/>
  <c r="V55" i="37"/>
  <c r="AB55" i="37" s="1"/>
  <c r="V85" i="37"/>
  <c r="AB85" i="37" s="1"/>
  <c r="Q41" i="37"/>
  <c r="V95" i="37"/>
  <c r="AB95" i="37" s="1"/>
  <c r="V118" i="37" l="1"/>
  <c r="AB118" i="37" s="1"/>
  <c r="V112" i="37"/>
  <c r="AB112" i="37"/>
  <c r="Q131" i="37"/>
  <c r="Q130" i="37"/>
  <c r="AB130" i="37" s="1"/>
  <c r="F82" i="37"/>
  <c r="Q82" i="37" s="1"/>
  <c r="Q81" i="37"/>
  <c r="F114" i="37"/>
  <c r="Q114" i="37" s="1"/>
  <c r="Q113" i="37"/>
  <c r="F120" i="37"/>
  <c r="Q120" i="37" s="1"/>
  <c r="Q119" i="37"/>
  <c r="F108" i="37"/>
  <c r="Q108" i="37" s="1"/>
  <c r="F52" i="37"/>
  <c r="V56" i="37"/>
  <c r="AB56" i="37" s="1"/>
  <c r="Q22" i="37"/>
  <c r="F58" i="37"/>
  <c r="Q58" i="37" s="1"/>
  <c r="Q57" i="37"/>
  <c r="V97" i="37"/>
  <c r="AB97" i="37" s="1"/>
  <c r="F102" i="37"/>
  <c r="Q102" i="37" s="1"/>
  <c r="F90" i="37"/>
  <c r="F73" i="37"/>
  <c r="Q73" i="37" s="1"/>
  <c r="F74" i="37"/>
  <c r="Q74" i="37" s="1"/>
  <c r="F66" i="37"/>
  <c r="Q66" i="37" s="1"/>
  <c r="Q132" i="37" l="1"/>
  <c r="AB132" i="37" s="1"/>
  <c r="Q133" i="37"/>
  <c r="F121" i="37"/>
  <c r="Q121" i="37" s="1"/>
  <c r="F115" i="37"/>
  <c r="Q115" i="37" s="1"/>
  <c r="V57" i="37"/>
  <c r="AB57" i="37" s="1"/>
  <c r="F59" i="37"/>
  <c r="Q59" i="37" s="1"/>
  <c r="F91" i="37"/>
  <c r="F103" i="37"/>
  <c r="Q103" i="37" s="1"/>
  <c r="V22" i="37"/>
  <c r="F67" i="37"/>
  <c r="Q67" i="37" s="1"/>
  <c r="Q23" i="37"/>
  <c r="Q43" i="37"/>
  <c r="F53" i="37"/>
  <c r="Q53" i="37" s="1"/>
  <c r="F109" i="37"/>
  <c r="Q109" i="37" s="1"/>
  <c r="F75" i="37"/>
  <c r="Q75" i="37" s="1"/>
  <c r="Q134" i="37" l="1"/>
  <c r="AB134" i="37" s="1"/>
  <c r="Q135" i="37"/>
  <c r="AB22" i="37"/>
  <c r="F76" i="37"/>
  <c r="Q76" i="37" s="1"/>
  <c r="Q24" i="37"/>
  <c r="F68" i="37"/>
  <c r="Q68" i="37" s="1"/>
  <c r="V23" i="37"/>
  <c r="AB23" i="37" s="1"/>
  <c r="F60" i="37"/>
  <c r="Q60" i="37" s="1"/>
  <c r="V43" i="37"/>
  <c r="AB43" i="37" s="1"/>
  <c r="F92" i="37"/>
  <c r="Q137" i="37" l="1"/>
  <c r="Q136" i="37"/>
  <c r="AB136" i="37" s="1"/>
  <c r="F93" i="37"/>
  <c r="V24" i="37"/>
  <c r="AB24" i="37" s="1"/>
  <c r="Q25" i="37"/>
  <c r="Q139" i="37" l="1"/>
  <c r="Q138" i="37"/>
  <c r="AB138" i="37" s="1"/>
  <c r="V25" i="37"/>
  <c r="V166" i="37" s="1"/>
  <c r="Q26" i="37"/>
  <c r="Q141" i="37" l="1"/>
  <c r="Q140" i="37"/>
  <c r="AB140" i="37" s="1"/>
  <c r="Q28" i="37"/>
  <c r="Q27" i="37"/>
  <c r="AB25" i="37"/>
  <c r="K15" i="37"/>
  <c r="E20" i="22" s="1"/>
  <c r="Q143" i="37" l="1"/>
  <c r="Q142" i="37"/>
  <c r="AB142" i="37" s="1"/>
  <c r="E25" i="22"/>
  <c r="J20" i="22"/>
  <c r="Q145" i="37" l="1"/>
  <c r="Q144" i="37"/>
  <c r="AB144" i="37" s="1"/>
  <c r="G25" i="22"/>
  <c r="J25" i="22" s="1"/>
  <c r="Q147" i="37" l="1"/>
  <c r="Q146" i="37"/>
  <c r="AB146" i="37" s="1"/>
  <c r="Q149" i="37"/>
  <c r="U166" i="37"/>
  <c r="Q148" i="37" l="1"/>
  <c r="AB148" i="37" s="1"/>
  <c r="Q150" i="37" l="1"/>
  <c r="AB150" i="37" s="1"/>
  <c r="Q151" i="37"/>
  <c r="Q152" i="37" l="1"/>
  <c r="AB152" i="37" s="1"/>
  <c r="Q153" i="37"/>
  <c r="Q154" i="37" l="1"/>
  <c r="AB154" i="37" s="1"/>
  <c r="Q155" i="37"/>
  <c r="Q156" i="37" l="1"/>
  <c r="AB156" i="37" s="1"/>
  <c r="Q157" i="37"/>
  <c r="Q158" i="37" l="1"/>
  <c r="AB158" i="37" s="1"/>
  <c r="Q159" i="37"/>
  <c r="Q160" i="37" l="1"/>
  <c r="AB160" i="37" s="1"/>
  <c r="Q161" i="37"/>
  <c r="Q163" i="37" l="1"/>
  <c r="Q162" i="37"/>
  <c r="AB162" i="37" s="1"/>
  <c r="F166" i="37"/>
  <c r="Q165" i="37" l="1"/>
  <c r="Q164" i="37"/>
  <c r="AB164" i="37" s="1"/>
  <c r="Q166" i="37"/>
  <c r="AB167" i="37" l="1"/>
  <c r="K16" i="37"/>
  <c r="F20" i="22" s="1"/>
  <c r="F25" i="22" l="1"/>
  <c r="H20" i="22"/>
  <c r="K20" i="22" s="1"/>
  <c r="AA167" i="37"/>
  <c r="AB169" i="37"/>
  <c r="AA169" i="37" s="1"/>
  <c r="H25" i="22" l="1"/>
  <c r="K25" i="22" s="1"/>
  <c r="I25"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36" authorId="0" shapeId="0" xr:uid="{00000000-0006-0000-0400-000001000000}">
      <text>
        <r>
          <rPr>
            <b/>
            <sz val="9"/>
            <color rgb="FF000000"/>
            <rFont val="돋움"/>
            <family val="3"/>
            <charset val="129"/>
          </rPr>
          <t>최소</t>
        </r>
        <r>
          <rPr>
            <b/>
            <sz val="9"/>
            <color rgb="FF000000"/>
            <rFont val="Tahoma"/>
            <family val="2"/>
          </rPr>
          <t xml:space="preserve"> </t>
        </r>
        <r>
          <rPr>
            <b/>
            <sz val="9"/>
            <color rgb="FF000000"/>
            <rFont val="돋움"/>
            <family val="3"/>
            <charset val="129"/>
          </rPr>
          <t>단위</t>
        </r>
        <r>
          <rPr>
            <b/>
            <sz val="9"/>
            <color rgb="FF000000"/>
            <rFont val="Tahoma"/>
            <family val="2"/>
          </rPr>
          <t xml:space="preserve"> </t>
        </r>
        <r>
          <rPr>
            <b/>
            <sz val="9"/>
            <color rgb="FF000000"/>
            <rFont val="돋움"/>
            <family val="3"/>
            <charset val="129"/>
          </rPr>
          <t>소자</t>
        </r>
        <r>
          <rPr>
            <b/>
            <sz val="9"/>
            <color rgb="FF000000"/>
            <rFont val="Tahoma"/>
            <family val="2"/>
          </rPr>
          <t xml:space="preserve"> size </t>
        </r>
        <r>
          <rPr>
            <b/>
            <sz val="9"/>
            <color rgb="FF000000"/>
            <rFont val="돋움"/>
            <family val="3"/>
            <charset val="129"/>
          </rPr>
          <t>기준</t>
        </r>
        <r>
          <rPr>
            <b/>
            <sz val="9"/>
            <color rgb="FF000000"/>
            <rFont val="Tahoma"/>
            <family val="2"/>
          </rPr>
          <t xml:space="preserve"> </t>
        </r>
        <r>
          <rPr>
            <b/>
            <sz val="9"/>
            <color rgb="FF000000"/>
            <rFont val="돋움"/>
            <family val="3"/>
            <charset val="129"/>
          </rPr>
          <t>개수</t>
        </r>
        <r>
          <rPr>
            <b/>
            <sz val="9"/>
            <color rgb="FF000000"/>
            <rFont val="Tahoma"/>
            <family val="2"/>
          </rPr>
          <t xml:space="preserve"> </t>
        </r>
      </text>
    </comment>
    <comment ref="C38" authorId="0" shapeId="0" xr:uid="{00000000-0006-0000-0400-000002000000}">
      <text>
        <r>
          <rPr>
            <b/>
            <sz val="9"/>
            <color rgb="FF000000"/>
            <rFont val="Tahoma"/>
            <family val="2"/>
          </rPr>
          <t>NAND</t>
        </r>
        <r>
          <rPr>
            <b/>
            <sz val="9"/>
            <color rgb="FF000000"/>
            <rFont val="돋움"/>
            <family val="3"/>
            <charset val="129"/>
          </rPr>
          <t>환산</t>
        </r>
        <r>
          <rPr>
            <b/>
            <sz val="9"/>
            <color rgb="FF000000"/>
            <rFont val="Tahoma"/>
            <family val="2"/>
          </rPr>
          <t xml:space="preserve"> X4 (</t>
        </r>
        <r>
          <rPr>
            <b/>
            <sz val="9"/>
            <color rgb="FF000000"/>
            <rFont val="돋움"/>
            <family val="3"/>
            <charset val="129"/>
          </rPr>
          <t>게이트카운트</t>
        </r>
        <r>
          <rPr>
            <b/>
            <sz val="9"/>
            <color rgb="FF000000"/>
            <rFont val="Tahoma"/>
            <family val="2"/>
          </rPr>
          <t xml:space="preserve"> </t>
        </r>
        <r>
          <rPr>
            <b/>
            <sz val="9"/>
            <color rgb="FF000000"/>
            <rFont val="돋움"/>
            <family val="3"/>
            <charset val="129"/>
          </rPr>
          <t>기준</t>
        </r>
        <r>
          <rPr>
            <b/>
            <sz val="9"/>
            <color rgb="FF000000"/>
            <rFont val="Tahoma"/>
            <family val="2"/>
          </rPr>
          <t>)</t>
        </r>
      </text>
    </comment>
  </commentList>
</comments>
</file>

<file path=xl/sharedStrings.xml><?xml version="1.0" encoding="utf-8"?>
<sst xmlns="http://schemas.openxmlformats.org/spreadsheetml/2006/main" count="4493" uniqueCount="1414">
  <si>
    <t>Single Point Failure mode can violate the safety goal in the absense of safety mecahnism</t>
  </si>
  <si>
    <t>Failure rate (FIT)</t>
  </si>
  <si>
    <t>Residual or Single Point Fault
failure rate / FIT</t>
  </si>
  <si>
    <t>Failure mode coverage wrt. 
Latent failures</t>
  </si>
  <si>
    <t>Latent Multiple Point Fault
failure rate / FIT</t>
  </si>
  <si>
    <t>Failure distribution</t>
  </si>
  <si>
    <t>Document ID</t>
    <phoneticPr fontId="4" type="noConversion"/>
  </si>
  <si>
    <t>Author</t>
    <phoneticPr fontId="4" type="noConversion"/>
  </si>
  <si>
    <t>Version</t>
  </si>
  <si>
    <t>Status</t>
    <phoneticPr fontId="4" type="noConversion"/>
  </si>
  <si>
    <t>Author</t>
    <phoneticPr fontId="5" type="noConversion"/>
  </si>
  <si>
    <t>Safety Manager</t>
    <phoneticPr fontId="5" type="noConversion"/>
  </si>
  <si>
    <t>Version</t>
    <phoneticPr fontId="5" type="noConversion"/>
  </si>
  <si>
    <t>Name</t>
  </si>
  <si>
    <t>Signature</t>
  </si>
  <si>
    <t>Prepared by</t>
  </si>
  <si>
    <t>Reviewed by</t>
  </si>
  <si>
    <t>Checked by</t>
  </si>
  <si>
    <t>FMEDA</t>
    <phoneticPr fontId="5" type="noConversion"/>
  </si>
  <si>
    <t>Document ID</t>
    <phoneticPr fontId="4" type="noConversion"/>
  </si>
  <si>
    <t>Status</t>
    <phoneticPr fontId="4" type="noConversion"/>
  </si>
  <si>
    <t xml:space="preserve">No. </t>
  </si>
  <si>
    <t>FMEDA</t>
    <phoneticPr fontId="3" type="noConversion"/>
  </si>
  <si>
    <t xml:space="preserve">HSR Block </t>
    <phoneticPr fontId="3" type="noConversion"/>
  </si>
  <si>
    <t>Description</t>
    <phoneticPr fontId="6"/>
  </si>
  <si>
    <t>1</t>
    <phoneticPr fontId="6"/>
  </si>
  <si>
    <t>2</t>
    <phoneticPr fontId="6"/>
  </si>
  <si>
    <t>3</t>
  </si>
  <si>
    <t>4</t>
  </si>
  <si>
    <t>12</t>
  </si>
  <si>
    <t>13</t>
  </si>
  <si>
    <t>14</t>
  </si>
  <si>
    <t>15</t>
  </si>
  <si>
    <t>16</t>
  </si>
  <si>
    <t>6</t>
    <phoneticPr fontId="2"/>
  </si>
  <si>
    <t>7</t>
    <phoneticPr fontId="2"/>
  </si>
  <si>
    <t>8</t>
    <phoneticPr fontId="2"/>
  </si>
  <si>
    <t>9</t>
    <phoneticPr fontId="2"/>
  </si>
  <si>
    <t>10</t>
    <phoneticPr fontId="2"/>
  </si>
  <si>
    <t>11</t>
    <phoneticPr fontId="2"/>
  </si>
  <si>
    <t xml:space="preserve"> The System ASIC consists of the following group of functions</t>
    <phoneticPr fontId="3" type="noConversion"/>
  </si>
  <si>
    <t>Block Diagram</t>
    <phoneticPr fontId="3" type="noConversion"/>
  </si>
  <si>
    <t>Floor Plan</t>
    <phoneticPr fontId="3" type="noConversion"/>
  </si>
  <si>
    <t>Layout</t>
    <phoneticPr fontId="3" type="noConversion"/>
  </si>
  <si>
    <t>Safety Goal</t>
    <phoneticPr fontId="2"/>
  </si>
  <si>
    <t>ASIL</t>
    <phoneticPr fontId="2"/>
  </si>
  <si>
    <t>SPFM</t>
    <phoneticPr fontId="2"/>
  </si>
  <si>
    <t>LFM</t>
    <phoneticPr fontId="2"/>
  </si>
  <si>
    <t>PMHF [FIT]</t>
    <phoneticPr fontId="2"/>
  </si>
  <si>
    <t>Target Metrics (IC)</t>
    <phoneticPr fontId="2"/>
  </si>
  <si>
    <t>Target Metrics (System) (just for reference)</t>
    <phoneticPr fontId="2"/>
  </si>
  <si>
    <t>Part9 8.4.10 a)</t>
    <phoneticPr fontId="2"/>
  </si>
  <si>
    <t xml:space="preserve">Part5 8.4.7, 8.4.8, </t>
    <phoneticPr fontId="2"/>
  </si>
  <si>
    <t>λ [FIT]</t>
    <phoneticPr fontId="2"/>
  </si>
  <si>
    <t>λ(SPF,RF)
[FIT]</t>
    <phoneticPr fontId="2"/>
  </si>
  <si>
    <t>λ(LF)
[FIT]</t>
    <phoneticPr fontId="2"/>
  </si>
  <si>
    <t>SPFM
[%]</t>
    <phoneticPr fontId="2"/>
  </si>
  <si>
    <t>LFM
[%]</t>
    <phoneticPr fontId="2"/>
  </si>
  <si>
    <t>PMHF
[FIT]</t>
    <phoneticPr fontId="2"/>
  </si>
  <si>
    <t>PAD(Protect Diode -VCC)</t>
    <phoneticPr fontId="2"/>
  </si>
  <si>
    <t>PAD(Protect Diode -GND)</t>
    <phoneticPr fontId="2"/>
  </si>
  <si>
    <t>Judgement</t>
    <phoneticPr fontId="2"/>
  </si>
  <si>
    <t>OK / NG</t>
    <phoneticPr fontId="2"/>
  </si>
  <si>
    <t>Part9 8.4.2</t>
    <phoneticPr fontId="2"/>
  </si>
  <si>
    <t>SM#</t>
    <phoneticPr fontId="2"/>
  </si>
  <si>
    <t>Argument</t>
    <phoneticPr fontId="11"/>
  </si>
  <si>
    <t>ISO 26262-5
Annex D</t>
    <phoneticPr fontId="11"/>
  </si>
  <si>
    <t>Diagnostic Coverage</t>
    <phoneticPr fontId="11"/>
  </si>
  <si>
    <t xml:space="preserve">
</t>
  </si>
  <si>
    <t>#1.0</t>
    <phoneticPr fontId="2"/>
  </si>
  <si>
    <t>Fit to block</t>
    <phoneticPr fontId="2"/>
  </si>
  <si>
    <t>Total</t>
    <phoneticPr fontId="2"/>
  </si>
  <si>
    <t>um2</t>
    <phoneticPr fontId="2"/>
  </si>
  <si>
    <t>Check</t>
    <phoneticPr fontId="2"/>
  </si>
  <si>
    <t>Die</t>
    <phoneticPr fontId="2"/>
  </si>
  <si>
    <t>per transistor base failure rate of the integrated circuit family. See Table 16.</t>
  </si>
  <si>
    <t>λ2</t>
  </si>
  <si>
    <t>failure rate related to the technology mastering of the integrated circuit. See Table 16.</t>
  </si>
  <si>
    <t>N</t>
  </si>
  <si>
    <t>number of transistors of the integrated circuit.</t>
  </si>
  <si>
    <t>π1</t>
  </si>
  <si>
    <t>ith temperature factor related to the ith junction temperature of the integrated circuit mission profile.</t>
  </si>
  <si>
    <t>τi</t>
  </si>
  <si>
    <t>ith working time ratio of the integrated circuit for the ith junction temperature of the mission profile.</t>
  </si>
  <si>
    <t>τon</t>
  </si>
  <si>
    <t>λ1</t>
  </si>
  <si>
    <t>Tac_3</t>
  </si>
  <si>
    <t>Tac_4</t>
  </si>
  <si>
    <t>Tac_5</t>
  </si>
  <si>
    <t>Tac_6</t>
  </si>
  <si>
    <t>(tae)1</t>
  </si>
  <si>
    <t>℃</t>
  </si>
  <si>
    <t>(tae)2</t>
  </si>
  <si>
    <t>Internal Use Only</t>
    <phoneticPr fontId="2"/>
  </si>
  <si>
    <t>α</t>
    <phoneticPr fontId="2"/>
  </si>
  <si>
    <t>[(year of manufacturing) – 1998].</t>
    <phoneticPr fontId="2"/>
  </si>
  <si>
    <t>- Analog part</t>
    <phoneticPr fontId="2"/>
  </si>
  <si>
    <t>- Digital part</t>
    <phoneticPr fontId="2"/>
  </si>
  <si>
    <t>Refer to Table 16</t>
    <phoneticPr fontId="2"/>
  </si>
  <si>
    <t>λ2</t>
    <phoneticPr fontId="2"/>
  </si>
  <si>
    <t>year</t>
    <phoneticPr fontId="2"/>
  </si>
  <si>
    <t>① Die base rate (w/o mission profile)</t>
    <phoneticPr fontId="2"/>
  </si>
  <si>
    <t>Total life time</t>
    <phoneticPr fontId="2"/>
  </si>
  <si>
    <t>Hour</t>
    <phoneticPr fontId="2"/>
  </si>
  <si>
    <t>Theta ja (PKG)</t>
    <phoneticPr fontId="11"/>
  </si>
  <si>
    <t>Power dissipation</t>
    <phoneticPr fontId="11"/>
  </si>
  <si>
    <t>W</t>
    <phoneticPr fontId="11"/>
  </si>
  <si>
    <t>ΔTj</t>
    <phoneticPr fontId="11"/>
  </si>
  <si>
    <t>℃</t>
    <phoneticPr fontId="11"/>
  </si>
  <si>
    <t>Temp No.</t>
    <phoneticPr fontId="2"/>
  </si>
  <si>
    <t>Amb Temp</t>
    <phoneticPr fontId="2"/>
  </si>
  <si>
    <t>Duration[h]</t>
    <phoneticPr fontId="11"/>
  </si>
  <si>
    <t>Duration[%]</t>
    <phoneticPr fontId="11"/>
  </si>
  <si>
    <t>No.</t>
    <phoneticPr fontId="11"/>
  </si>
  <si>
    <t>Junction Temp</t>
    <phoneticPr fontId="11"/>
  </si>
  <si>
    <t>total</t>
    <phoneticPr fontId="11"/>
  </si>
  <si>
    <t>τ on (On duty)</t>
    <phoneticPr fontId="11"/>
  </si>
  <si>
    <t>τ total</t>
    <phoneticPr fontId="11"/>
  </si>
  <si>
    <t>τ off (Off duty)</t>
    <phoneticPr fontId="11"/>
  </si>
  <si>
    <t>Ea</t>
    <phoneticPr fontId="11"/>
  </si>
  <si>
    <t>eV</t>
    <phoneticPr fontId="11"/>
  </si>
  <si>
    <t>Refer to table</t>
    <phoneticPr fontId="2"/>
  </si>
  <si>
    <t>A</t>
    <phoneticPr fontId="11"/>
  </si>
  <si>
    <t>∑πt*τi</t>
    <phoneticPr fontId="11"/>
  </si>
  <si>
    <t>Sum</t>
    <phoneticPr fontId="11"/>
  </si>
  <si>
    <t>② Mission profile</t>
    <phoneticPr fontId="2"/>
  </si>
  <si>
    <t>FIT</t>
    <phoneticPr fontId="11"/>
  </si>
  <si>
    <t>Refer to table 14</t>
    <phoneticPr fontId="11"/>
  </si>
  <si>
    <t>Tac_1</t>
    <phoneticPr fontId="11"/>
  </si>
  <si>
    <t>Tac_2</t>
    <phoneticPr fontId="11"/>
  </si>
  <si>
    <t>Tac</t>
    <phoneticPr fontId="11"/>
  </si>
  <si>
    <t>Average Amb Temp</t>
    <phoneticPr fontId="11"/>
  </si>
  <si>
    <t>℃</t>
    <phoneticPr fontId="11"/>
  </si>
  <si>
    <t>cycle/year</t>
    <phoneticPr fontId="11"/>
  </si>
  <si>
    <t>λ3</t>
    <phoneticPr fontId="11"/>
  </si>
  <si>
    <t>Refer to table 17a</t>
    <phoneticPr fontId="11"/>
  </si>
  <si>
    <t>FIT</t>
    <phoneticPr fontId="11"/>
  </si>
  <si>
    <t>λ</t>
    <phoneticPr fontId="2"/>
  </si>
  <si>
    <t>λSPF+λRF</t>
    <phoneticPr fontId="2"/>
  </si>
  <si>
    <t>λLF</t>
    <phoneticPr fontId="2"/>
  </si>
  <si>
    <t>Permanent Failures</t>
  </si>
  <si>
    <t>Golden Master</t>
    <phoneticPr fontId="2"/>
  </si>
  <si>
    <t>Single Point Failures</t>
  </si>
  <si>
    <t>Latent Failure</t>
    <phoneticPr fontId="2"/>
  </si>
  <si>
    <t xml:space="preserve">PIN#
</t>
    <phoneticPr fontId="2"/>
  </si>
  <si>
    <t>Failure Mode Number</t>
    <phoneticPr fontId="14"/>
  </si>
  <si>
    <t>Pin Number</t>
    <phoneticPr fontId="14"/>
  </si>
  <si>
    <t>Power source connected through ESD protection</t>
    <phoneticPr fontId="2"/>
  </si>
  <si>
    <t>effects on the IC output</t>
    <phoneticPr fontId="2"/>
  </si>
  <si>
    <t>effects on the system</t>
    <phoneticPr fontId="2"/>
  </si>
  <si>
    <t>Safety mechanism(s) (IC) allowing to prevent the violation of the safety goal</t>
    <phoneticPr fontId="2"/>
  </si>
  <si>
    <t>Safety mechanism(s) (System) allowing to prevent the violation of the safety goal</t>
    <phoneticPr fontId="2"/>
  </si>
  <si>
    <t>Failure mode coverage wrt. violation of safety goal</t>
  </si>
  <si>
    <t>Latent Failure mode can violate the safety goal in the absense 
of safety mecahnism</t>
    <phoneticPr fontId="2"/>
  </si>
  <si>
    <t>Safety mechanism(s) (IC) to prevent latent faults</t>
    <phoneticPr fontId="2"/>
  </si>
  <si>
    <t>Safety mechanism(s) (System) to prevent latent faults</t>
    <phoneticPr fontId="2"/>
  </si>
  <si>
    <t>FM_PSP_1</t>
    <phoneticPr fontId="2"/>
  </si>
  <si>
    <t>FM_PSP_2</t>
    <phoneticPr fontId="2"/>
  </si>
  <si>
    <t>FM_PSP_3</t>
  </si>
  <si>
    <t>FM_PSP_4</t>
  </si>
  <si>
    <t>FM_PSP_5</t>
  </si>
  <si>
    <t>FM_PSP_6</t>
  </si>
  <si>
    <t>FM_PSP_7</t>
  </si>
  <si>
    <t>FM_PSP_8</t>
  </si>
  <si>
    <t>FM_PSP_9</t>
  </si>
  <si>
    <t>FM_PSP_10</t>
  </si>
  <si>
    <t>FM_PSP_11</t>
  </si>
  <si>
    <t>FM_PSP_12</t>
  </si>
  <si>
    <t>FM_PSP_13</t>
  </si>
  <si>
    <t>FM_PSP_14</t>
  </si>
  <si>
    <t>FM_PSP_15</t>
  </si>
  <si>
    <t>FM_PSP_16</t>
  </si>
  <si>
    <t>FM_PSP_17</t>
  </si>
  <si>
    <t>FM_PSP_18</t>
  </si>
  <si>
    <t>FM_PSP_19</t>
  </si>
  <si>
    <t>FM_PSP_20</t>
  </si>
  <si>
    <t>FM_PSP_21</t>
  </si>
  <si>
    <t>FM_PSP_22</t>
  </si>
  <si>
    <t>FM_PSP_23</t>
  </si>
  <si>
    <t>FM_PSP_24</t>
  </si>
  <si>
    <t>FM_PSP_25</t>
  </si>
  <si>
    <t>FM_PSP_26</t>
  </si>
  <si>
    <t>FM_PSP_27</t>
  </si>
  <si>
    <t>FM_PSP_28</t>
  </si>
  <si>
    <t>FM_PSP_29</t>
  </si>
  <si>
    <t>FM_PSP_30</t>
  </si>
  <si>
    <t>FM_PSP_31</t>
  </si>
  <si>
    <t>FM_PSP_32</t>
  </si>
  <si>
    <t>FM_PSP_33</t>
  </si>
  <si>
    <t>FM_PSP_34</t>
  </si>
  <si>
    <t>FM_PSP_35</t>
  </si>
  <si>
    <t>FM_PSP_36</t>
  </si>
  <si>
    <t>FM_PSP_37</t>
  </si>
  <si>
    <t>FM_PSP_38</t>
  </si>
  <si>
    <t>FM_PSP_39</t>
  </si>
  <si>
    <t>FM_PSP_40</t>
  </si>
  <si>
    <t>FM_PSP_41</t>
  </si>
  <si>
    <t>FM_PSP_42</t>
  </si>
  <si>
    <t>FM_PSP_43</t>
  </si>
  <si>
    <t>FM_PSP_44</t>
  </si>
  <si>
    <t>FM_PSP_45</t>
  </si>
  <si>
    <t>FM_PSP_46</t>
  </si>
  <si>
    <t>FM_PSP_47</t>
  </si>
  <si>
    <t>FM_PSP_48</t>
  </si>
  <si>
    <t>λ</t>
    <phoneticPr fontId="2"/>
  </si>
  <si>
    <t>λSPF+λRF</t>
    <phoneticPr fontId="2"/>
  </si>
  <si>
    <t>λLF</t>
    <phoneticPr fontId="2"/>
  </si>
  <si>
    <t>Latent Failure</t>
    <phoneticPr fontId="2"/>
  </si>
  <si>
    <t xml:space="preserve">PIN#
</t>
    <phoneticPr fontId="2"/>
  </si>
  <si>
    <t>Failure Mode Number</t>
    <phoneticPr fontId="2"/>
  </si>
  <si>
    <t>Pin Number</t>
    <phoneticPr fontId="2"/>
  </si>
  <si>
    <t>Power source connected through ESD protection</t>
    <phoneticPr fontId="2"/>
  </si>
  <si>
    <t>effects on the IC output</t>
    <phoneticPr fontId="2"/>
  </si>
  <si>
    <t>effects on the system</t>
    <phoneticPr fontId="2"/>
  </si>
  <si>
    <t>Safety mechanism(s) (IC) allowing to prevent the violation of the safety goal</t>
    <phoneticPr fontId="2"/>
  </si>
  <si>
    <t>Safety mechanism(s) (System) allowing to prevent the violation of the safety goal</t>
    <phoneticPr fontId="2"/>
  </si>
  <si>
    <t>Latent Failure mode can violate the safety goal in the absense 
of safety mecahnism</t>
    <phoneticPr fontId="2"/>
  </si>
  <si>
    <t>Safety mechanism(s) (IC) to prevent latent faults</t>
    <phoneticPr fontId="2"/>
  </si>
  <si>
    <t>Safety mechanism(s) (System) to prevent latent faults</t>
    <phoneticPr fontId="2"/>
  </si>
  <si>
    <t>FM_PSG_1</t>
    <phoneticPr fontId="2"/>
  </si>
  <si>
    <t>FM_PSG_2</t>
    <phoneticPr fontId="2"/>
  </si>
  <si>
    <t>FM_PSG_3</t>
  </si>
  <si>
    <t>FM_PSG_4</t>
  </si>
  <si>
    <t>FM_PSG_5</t>
  </si>
  <si>
    <t>FM_PSG_6</t>
  </si>
  <si>
    <t>FM_PSG_7</t>
  </si>
  <si>
    <t>FM_PSG_8</t>
  </si>
  <si>
    <t>FM_PSG_9</t>
  </si>
  <si>
    <t>FM_PSG_10</t>
  </si>
  <si>
    <t>FM_PSG_11</t>
  </si>
  <si>
    <t>FM_PSG_12</t>
  </si>
  <si>
    <t>FM_PSG_13</t>
  </si>
  <si>
    <t>FM_PSG_14</t>
  </si>
  <si>
    <t>FM_PSG_15</t>
  </si>
  <si>
    <t>FM_PSG_16</t>
  </si>
  <si>
    <t>FM_PSG_17</t>
  </si>
  <si>
    <t>FM_PSG_18</t>
  </si>
  <si>
    <t>FM_PSG_19</t>
  </si>
  <si>
    <t>FM_PSG_20</t>
  </si>
  <si>
    <t>FM_PSG_21</t>
  </si>
  <si>
    <t>FM_PSG_22</t>
  </si>
  <si>
    <t>FM_PSG_23</t>
  </si>
  <si>
    <t>FM_PSG_24</t>
  </si>
  <si>
    <t>FM_PSG_25</t>
  </si>
  <si>
    <t>FM_PSG_26</t>
  </si>
  <si>
    <t>FM_PSG_27</t>
  </si>
  <si>
    <t>FM_PSG_28</t>
  </si>
  <si>
    <t>FM_PSG_29</t>
  </si>
  <si>
    <t>FM_PSG_30</t>
  </si>
  <si>
    <t>FM_PSG_31</t>
  </si>
  <si>
    <t>FM_PSG_32</t>
  </si>
  <si>
    <t>FM_PSG_33</t>
  </si>
  <si>
    <t>FM_PSG_34</t>
  </si>
  <si>
    <t>FM_PSG_35</t>
  </si>
  <si>
    <t>FM_PSG_36</t>
  </si>
  <si>
    <t>FM_PSG_37</t>
  </si>
  <si>
    <t>FM_PSG_38</t>
  </si>
  <si>
    <t>FM_PSG_39</t>
  </si>
  <si>
    <t>FM_PSG_40</t>
  </si>
  <si>
    <t>FM_PSG_41</t>
  </si>
  <si>
    <t>FM_PSG_42</t>
  </si>
  <si>
    <t>FM_PSG_43</t>
  </si>
  <si>
    <t>FM_PSG_44</t>
  </si>
  <si>
    <t>FM_PSG_45</t>
  </si>
  <si>
    <t>FM_PSG_46</t>
  </si>
  <si>
    <t>FM_PSG_47</t>
  </si>
  <si>
    <t>FM_PSG_48</t>
  </si>
  <si>
    <t>λ</t>
    <phoneticPr fontId="2"/>
  </si>
  <si>
    <t>λSPF+λRF</t>
    <phoneticPr fontId="2"/>
  </si>
  <si>
    <t>Bonding</t>
    <phoneticPr fontId="2"/>
  </si>
  <si>
    <t>λLF</t>
    <phoneticPr fontId="2"/>
  </si>
  <si>
    <t>Latent Failures</t>
    <phoneticPr fontId="2"/>
  </si>
  <si>
    <t>Failure Mode Number</t>
    <phoneticPr fontId="2"/>
  </si>
  <si>
    <t>Pin Number</t>
    <phoneticPr fontId="2"/>
  </si>
  <si>
    <t>Pin Name</t>
    <phoneticPr fontId="2"/>
  </si>
  <si>
    <t>Bondig</t>
    <phoneticPr fontId="2"/>
  </si>
  <si>
    <t>Power source connected through ESD protection</t>
    <phoneticPr fontId="2"/>
  </si>
  <si>
    <t>effects on the IC output</t>
    <phoneticPr fontId="2"/>
  </si>
  <si>
    <t>effects on the system</t>
    <phoneticPr fontId="2"/>
  </si>
  <si>
    <t>Single Point Failure mode can violate the safety goal in the absense of safety mechanism</t>
    <phoneticPr fontId="2"/>
  </si>
  <si>
    <t>Safety mechanism(s) (IC) allowing to prevent the violation of the safety goal</t>
    <phoneticPr fontId="2"/>
  </si>
  <si>
    <t>Safety mechanism(s) (System) allowing to prevent the violation of the safety goal</t>
    <phoneticPr fontId="2"/>
  </si>
  <si>
    <t>Latent Failure mode can violate the safety goal in the absense 
of safety mecahnism</t>
    <phoneticPr fontId="2"/>
  </si>
  <si>
    <t>Safety mechanism(s) (IC) to prevent latent faults</t>
    <phoneticPr fontId="2"/>
  </si>
  <si>
    <t>Safety mechanism(s) (System) to prevent latent faults</t>
    <phoneticPr fontId="2"/>
  </si>
  <si>
    <t>FM_PKO_1</t>
    <phoneticPr fontId="2"/>
  </si>
  <si>
    <t>FM_PKO_2</t>
    <phoneticPr fontId="2"/>
  </si>
  <si>
    <t>FM_PKO_3</t>
  </si>
  <si>
    <t>FM_PKO_4</t>
  </si>
  <si>
    <t>FM_PKO_5</t>
  </si>
  <si>
    <t>FM_PKO_6</t>
  </si>
  <si>
    <t>FM_PKO_7</t>
  </si>
  <si>
    <t>FM_PKO_8</t>
  </si>
  <si>
    <t>FM_PKO_9</t>
  </si>
  <si>
    <t>FM_PKO_10</t>
  </si>
  <si>
    <t>FM_PKO_11</t>
  </si>
  <si>
    <t>FM_PKO_12</t>
  </si>
  <si>
    <t>FM_PKO_13</t>
  </si>
  <si>
    <t>FM_PKO_14</t>
  </si>
  <si>
    <t>FM_PKO_15</t>
  </si>
  <si>
    <t>FM_PKO_16</t>
  </si>
  <si>
    <t>FM_PKO_17</t>
  </si>
  <si>
    <t>FM_PKO_18</t>
  </si>
  <si>
    <t>FM_PKO_19</t>
  </si>
  <si>
    <t>FM_PKO_20</t>
  </si>
  <si>
    <t>FM_PKO_21</t>
  </si>
  <si>
    <t>FM_PKO_22</t>
  </si>
  <si>
    <t>FM_PKO_23</t>
  </si>
  <si>
    <t>FM_PKO_24</t>
  </si>
  <si>
    <t>FM_PKO_25</t>
  </si>
  <si>
    <t>FM_PKO_26</t>
  </si>
  <si>
    <t>FM_PKO_27</t>
  </si>
  <si>
    <t>FM_PKO_28</t>
  </si>
  <si>
    <t>FM_PKO_29</t>
  </si>
  <si>
    <t>FM_PKO_30</t>
  </si>
  <si>
    <t>FM_PKO_31</t>
  </si>
  <si>
    <t>FM_PKO_32</t>
  </si>
  <si>
    <t>FM_PKO_33</t>
  </si>
  <si>
    <t>FM_PKO_34</t>
  </si>
  <si>
    <t>FM_PKO_35</t>
  </si>
  <si>
    <t>FM_PKO_36</t>
  </si>
  <si>
    <t>FM_PKO_37</t>
  </si>
  <si>
    <t>FM_PKO_38</t>
  </si>
  <si>
    <t>FM_PKO_39</t>
  </si>
  <si>
    <t>FM_PKO_40</t>
  </si>
  <si>
    <t>FM_PKO_41</t>
  </si>
  <si>
    <t>FM_PKO_42</t>
  </si>
  <si>
    <t>FM_PKO_43</t>
  </si>
  <si>
    <t>FM_PKO_44</t>
  </si>
  <si>
    <t>FM_PKO_45</t>
  </si>
  <si>
    <t>FM_PKO_46</t>
  </si>
  <si>
    <t>FM_PKO_47</t>
  </si>
  <si>
    <t>FM_PKO_48</t>
  </si>
  <si>
    <t>Safety mechanism(s) allowing to prevent the violation of the safety goal</t>
  </si>
  <si>
    <t>FM_APS_1</t>
    <phoneticPr fontId="2"/>
  </si>
  <si>
    <t>FM_APS_2</t>
  </si>
  <si>
    <t>FM_APS_3</t>
  </si>
  <si>
    <t>FM_APS_4</t>
  </si>
  <si>
    <t>FM_APS_5</t>
  </si>
  <si>
    <t>FM_APS_6</t>
  </si>
  <si>
    <t>FM_APS_7</t>
  </si>
  <si>
    <t>FM_APS_8</t>
  </si>
  <si>
    <t>FM_APS_9</t>
  </si>
  <si>
    <t>FM_APS_10</t>
  </si>
  <si>
    <t>FM_APS_11</t>
  </si>
  <si>
    <t>FM_APS_12</t>
  </si>
  <si>
    <t>FM_APS_13</t>
  </si>
  <si>
    <t>FM_APS_14</t>
  </si>
  <si>
    <t>FM_APS_15</t>
  </si>
  <si>
    <t>FM_APS_16</t>
  </si>
  <si>
    <t>FM_APS_17</t>
  </si>
  <si>
    <t>FM_APS_18</t>
  </si>
  <si>
    <t>FM_APS_19</t>
  </si>
  <si>
    <t>FM_APS_20</t>
  </si>
  <si>
    <t>FM_APS_21</t>
  </si>
  <si>
    <t>FM_APS_22</t>
  </si>
  <si>
    <t>FM_APS_23</t>
  </si>
  <si>
    <t>FM_APS_24</t>
  </si>
  <si>
    <t>FM_APS_25</t>
  </si>
  <si>
    <t>FM_APS_26</t>
  </si>
  <si>
    <t>FM_APS_27</t>
  </si>
  <si>
    <t>FM_APS_28</t>
  </si>
  <si>
    <t>FM_APS_29</t>
  </si>
  <si>
    <t>FM_APS_30</t>
  </si>
  <si>
    <t>FM_APS_31</t>
  </si>
  <si>
    <t>FM_APS_32</t>
  </si>
  <si>
    <t>FM_APS_33</t>
  </si>
  <si>
    <t>FM_APS_34</t>
  </si>
  <si>
    <t>FM_APS_35</t>
  </si>
  <si>
    <t>FM_APS_36</t>
  </si>
  <si>
    <t>FM_APS_37</t>
  </si>
  <si>
    <t>FM_APS_38</t>
  </si>
  <si>
    <t>FM_APS_39</t>
  </si>
  <si>
    <t>FM_APS_40</t>
  </si>
  <si>
    <t>FM_APS_41</t>
  </si>
  <si>
    <t>FM_APS_42</t>
  </si>
  <si>
    <t>FM_APS_43</t>
  </si>
  <si>
    <t>FM_APS_44</t>
  </si>
  <si>
    <t>FM_APS_45</t>
  </si>
  <si>
    <t>FM_APS_46</t>
  </si>
  <si>
    <t>FM_APS_47</t>
  </si>
  <si>
    <t>FM_APS_48</t>
  </si>
  <si>
    <t>FIT Rate</t>
    <phoneticPr fontId="2"/>
  </si>
  <si>
    <t>Package</t>
    <phoneticPr fontId="2"/>
  </si>
  <si>
    <t>Die</t>
    <phoneticPr fontId="2"/>
  </si>
  <si>
    <t>Total Die Area [mm^2]</t>
    <phoneticPr fontId="2"/>
  </si>
  <si>
    <t>Block Name</t>
    <phoneticPr fontId="2"/>
  </si>
  <si>
    <t>Block/Die</t>
    <phoneticPr fontId="2"/>
  </si>
  <si>
    <t>N/A</t>
    <phoneticPr fontId="2"/>
  </si>
  <si>
    <t>MCU=</t>
    <phoneticPr fontId="2"/>
  </si>
  <si>
    <t>λ</t>
    <phoneticPr fontId="2"/>
  </si>
  <si>
    <t>λSPF+λRF</t>
    <phoneticPr fontId="2"/>
  </si>
  <si>
    <t>ABIST=</t>
    <phoneticPr fontId="2"/>
  </si>
  <si>
    <t>λLF</t>
    <phoneticPr fontId="2"/>
  </si>
  <si>
    <t>LBIST=</t>
    <phoneticPr fontId="2"/>
  </si>
  <si>
    <t>TSD=</t>
    <phoneticPr fontId="2"/>
  </si>
  <si>
    <t>Part9 8.4.9 c)</t>
    <phoneticPr fontId="2"/>
  </si>
  <si>
    <t>Part9 8.4.9 a)</t>
    <phoneticPr fontId="2"/>
  </si>
  <si>
    <t>Part9 8.4.9 b)</t>
    <phoneticPr fontId="2"/>
  </si>
  <si>
    <t>Latent Failure</t>
    <phoneticPr fontId="2"/>
  </si>
  <si>
    <t>機能</t>
    <rPh sb="0" eb="2">
      <t>キノウ</t>
    </rPh>
    <phoneticPr fontId="2"/>
  </si>
  <si>
    <t>Failure mode separate fault rate</t>
    <phoneticPr fontId="2"/>
  </si>
  <si>
    <t>Failure Mode Number</t>
    <phoneticPr fontId="2"/>
  </si>
  <si>
    <t>Component Name</t>
    <phoneticPr fontId="2"/>
  </si>
  <si>
    <t>Standard failure mode</t>
    <phoneticPr fontId="2"/>
  </si>
  <si>
    <t>Failure Mode</t>
    <phoneticPr fontId="2"/>
  </si>
  <si>
    <t>effects on the system</t>
    <phoneticPr fontId="2"/>
  </si>
  <si>
    <t>Safety mechanism(s) (IC) allowing to prevent the violation of the safety goal</t>
    <phoneticPr fontId="2"/>
  </si>
  <si>
    <t>Safety mechanism(s) (System) allowing to prevent the violation of the safety goal</t>
    <phoneticPr fontId="2"/>
  </si>
  <si>
    <t>Latent Failure mode can violate the safety goal in the absense 
of safety mecahnism</t>
    <phoneticPr fontId="2"/>
  </si>
  <si>
    <t>Safety mechanism(s) (IC) to prevent latent faults</t>
    <phoneticPr fontId="2"/>
  </si>
  <si>
    <t>Safety mechanism(s) (System) to prevent latent faults</t>
    <phoneticPr fontId="2"/>
  </si>
  <si>
    <t>FM_TTL_2</t>
  </si>
  <si>
    <t>FM_TTL_3</t>
  </si>
  <si>
    <t>FM_TTL_4</t>
  </si>
  <si>
    <t>FM_TTL_5</t>
  </si>
  <si>
    <t>FM_TTL_6</t>
  </si>
  <si>
    <t>FM_TTL_7</t>
  </si>
  <si>
    <t>FM_TTL_11</t>
  </si>
  <si>
    <t>FM_TTL_13</t>
  </si>
  <si>
    <t>FM_TTL_17</t>
  </si>
  <si>
    <t>FM_TTL_18</t>
  </si>
  <si>
    <t>FM_TTL_19</t>
  </si>
  <si>
    <t>FM_TTL_20</t>
  </si>
  <si>
    <t>FM_TTL_22</t>
  </si>
  <si>
    <t>FM_TTL_23</t>
  </si>
  <si>
    <t>FM_TTL_28</t>
  </si>
  <si>
    <t>FM_TTL_29</t>
  </si>
  <si>
    <t>FM_TTL_31</t>
  </si>
  <si>
    <t>FM_TTL_32</t>
  </si>
  <si>
    <t>FM_TTL_33</t>
  </si>
  <si>
    <t>FM_TTL_34</t>
  </si>
  <si>
    <t>FM_TTL_35</t>
  </si>
  <si>
    <t>FM_TTL_36</t>
  </si>
  <si>
    <t>FM_TTL_38</t>
  </si>
  <si>
    <t>FM_TTL_40</t>
  </si>
  <si>
    <t>FM_TTL_41</t>
  </si>
  <si>
    <t>FM_TTL_43</t>
  </si>
  <si>
    <t>FM_TTL_44</t>
  </si>
  <si>
    <t>FM_TTL_46</t>
  </si>
  <si>
    <t>FM_TTL_47</t>
  </si>
  <si>
    <t>FM_TTL_48</t>
  </si>
  <si>
    <t>FM_TTL_50</t>
  </si>
  <si>
    <t>FM_TTL_52</t>
  </si>
  <si>
    <t>FM_TTL_53</t>
  </si>
  <si>
    <t>FM_TTL_54</t>
  </si>
  <si>
    <t>FM_TTL_55</t>
  </si>
  <si>
    <t>FM_TTL_56</t>
  </si>
  <si>
    <t>FM_TTL_57</t>
  </si>
  <si>
    <t>FM_TTL_58</t>
  </si>
  <si>
    <t>FM_TTL_59</t>
  </si>
  <si>
    <t>FM_TTL_60</t>
  </si>
  <si>
    <t>FM_TTL_61</t>
  </si>
  <si>
    <t>FM_TTL_62</t>
  </si>
  <si>
    <t>FM_TTL_63</t>
  </si>
  <si>
    <t>FM_TTL_64</t>
  </si>
  <si>
    <t>FM_TTL_65</t>
  </si>
  <si>
    <t>FM_TTL_66</t>
  </si>
  <si>
    <t>FM_TTL_67</t>
  </si>
  <si>
    <t>FM_TTL_68</t>
  </si>
  <si>
    <t>FM_TTL_69</t>
  </si>
  <si>
    <t>FM_TTL_70</t>
  </si>
  <si>
    <t>FM_TTL_71</t>
  </si>
  <si>
    <t>FM_TTL_72</t>
  </si>
  <si>
    <t>FM_TTL_80</t>
  </si>
  <si>
    <t>FM_TTL_81</t>
  </si>
  <si>
    <t>FM_TTL_82</t>
  </si>
  <si>
    <t>FM_TTL_83</t>
  </si>
  <si>
    <t>FM_TTL_84</t>
  </si>
  <si>
    <t>FM_TTL_85</t>
  </si>
  <si>
    <t>FM_TTL_86</t>
  </si>
  <si>
    <t>FM_TTL_87</t>
  </si>
  <si>
    <t>FM_TTL_90</t>
  </si>
  <si>
    <t>FM_TTL_92</t>
  </si>
  <si>
    <t>FM_TTL_93</t>
  </si>
  <si>
    <t>FM_TTL_98</t>
  </si>
  <si>
    <t>FM_TTL_99</t>
  </si>
  <si>
    <t>FM_TTL_100</t>
  </si>
  <si>
    <t>FM_TTL_101</t>
  </si>
  <si>
    <t>FM_TTL_102</t>
  </si>
  <si>
    <t>FM_TTL_103</t>
  </si>
  <si>
    <t>FM_TTL_104</t>
  </si>
  <si>
    <t>FM_TTL_105</t>
  </si>
  <si>
    <t>FM_TTL_106</t>
  </si>
  <si>
    <t>FM_TTL_107</t>
  </si>
  <si>
    <t>FM_TTL_108</t>
  </si>
  <si>
    <t>FM_TTL_109</t>
  </si>
  <si>
    <t>FM_TTL_111</t>
  </si>
  <si>
    <t>FM_TTL_112</t>
  </si>
  <si>
    <t>FM_TTL_113</t>
  </si>
  <si>
    <t>FM_TTL_114</t>
  </si>
  <si>
    <t>FM_TTL_115</t>
  </si>
  <si>
    <t>FM_TTL_116</t>
  </si>
  <si>
    <t>FM_TTL_117</t>
  </si>
  <si>
    <t>FM_TTL_118</t>
  </si>
  <si>
    <t>FM_TTL_119</t>
  </si>
  <si>
    <t>FM_TTL_120</t>
  </si>
  <si>
    <t>FM_TTL_121</t>
  </si>
  <si>
    <t>Fit</t>
    <phoneticPr fontId="2"/>
  </si>
  <si>
    <t>Total</t>
    <phoneticPr fontId="2"/>
  </si>
  <si>
    <t>%</t>
    <phoneticPr fontId="2"/>
  </si>
  <si>
    <t>Document ID</t>
    <phoneticPr fontId="4" type="noConversion"/>
  </si>
  <si>
    <t>Status</t>
    <phoneticPr fontId="4" type="noConversion"/>
  </si>
  <si>
    <t xml:space="preserve">Development specification request No.                 </t>
    <rPh sb="0" eb="54">
      <t>カイハツシヨウショヨウキュウバンゴウ</t>
    </rPh>
    <phoneticPr fontId="2"/>
  </si>
  <si>
    <t>Safety Mechanism / Measure</t>
    <rPh sb="0" eb="26">
      <t>アンゼンキコウ</t>
    </rPh>
    <phoneticPr fontId="2"/>
  </si>
  <si>
    <t>Addressed Part</t>
    <rPh sb="0" eb="14">
      <t>テキヨウ</t>
    </rPh>
    <phoneticPr fontId="2"/>
  </si>
  <si>
    <t>IC Detection Method or 
Required Failsafe Solution</t>
    <rPh sb="0" eb="50">
      <t>ケンシュツホウホウヨウキュウキノウ</t>
    </rPh>
    <phoneticPr fontId="2"/>
  </si>
  <si>
    <t>Software (external MCU) Proposed Detection Method or 
Required Failsafe Solution</t>
    <rPh sb="0" eb="80">
      <t>ガイブ</t>
    </rPh>
    <phoneticPr fontId="2"/>
  </si>
  <si>
    <t>IC Mitigation Action
(action after detection)</t>
    <rPh sb="0" eb="45">
      <t>ケンシュツジドウサ</t>
    </rPh>
    <phoneticPr fontId="2"/>
  </si>
  <si>
    <t>List of Safety Mechanism</t>
    <phoneticPr fontId="3" type="noConversion"/>
  </si>
  <si>
    <t>Part9 8.4.3 8.4.10 b)</t>
    <phoneticPr fontId="3" type="noConversion"/>
  </si>
  <si>
    <t>FIT</t>
    <rPh sb="0" eb="3">
      <t>ワリアイ</t>
    </rPh>
    <phoneticPr fontId="2"/>
  </si>
  <si>
    <t>The basis of failure rate calculation is described here.</t>
    <rPh sb="0" eb="3">
      <t>コショウリツ</t>
    </rPh>
    <rPh sb="3" eb="5">
      <t>ケイサン</t>
    </rPh>
    <rPh sb="6" eb="8">
      <t>コンキョ</t>
    </rPh>
    <rPh sb="12" eb="14">
      <t>キサイ</t>
    </rPh>
    <phoneticPr fontId="2"/>
  </si>
  <si>
    <t>Core Block FIT rate calculation</t>
    <phoneticPr fontId="3" type="noConversion"/>
  </si>
  <si>
    <t>Block</t>
    <phoneticPr fontId="2"/>
  </si>
  <si>
    <t>PIN assignment</t>
    <phoneticPr fontId="3" type="noConversion"/>
  </si>
  <si>
    <t>pin No.</t>
    <phoneticPr fontId="6"/>
  </si>
  <si>
    <t>pin Name</t>
    <phoneticPr fontId="6"/>
  </si>
  <si>
    <t>단자A</t>
    <rPh sb="0" eb="2">
      <t>タンシ</t>
    </rPh>
    <phoneticPr fontId="2"/>
  </si>
  <si>
    <t>단자B</t>
    <rPh sb="0" eb="2">
      <t>タンシ</t>
    </rPh>
    <phoneticPr fontId="2"/>
  </si>
  <si>
    <t>PAD/ESD 보호 소자 영역 고장률(FIT)</t>
    <rPh sb="7" eb="9">
      <t>ホゴ</t>
    </rPh>
    <rPh sb="9" eb="11">
      <t>ソシ</t>
    </rPh>
    <rPh sb="14" eb="17">
      <t>コショウリツ</t>
    </rPh>
    <phoneticPr fontId="2"/>
  </si>
  <si>
    <t>고장Mode번호
PSG (Pad Short to Power)</t>
    <rPh sb="0" eb="2">
      <t>コショウ</t>
    </rPh>
    <rPh sb="6" eb="8">
      <t>バンゴウ</t>
    </rPh>
    <phoneticPr fontId="2"/>
  </si>
  <si>
    <t>Block
고장율(FIT)</t>
    <phoneticPr fontId="2"/>
  </si>
  <si>
    <t>고장Mode(iso26262)</t>
    <rPh sb="0" eb="2">
      <t>コショウ</t>
    </rPh>
    <phoneticPr fontId="2"/>
  </si>
  <si>
    <t xml:space="preserve">□ Number of Transistor </t>
    <phoneticPr fontId="2"/>
  </si>
  <si>
    <t>□ λ1 &amp; λ2 (Failure rate factor)</t>
    <phoneticPr fontId="2"/>
  </si>
  <si>
    <t>□ FAB Process stability</t>
    <phoneticPr fontId="2"/>
  </si>
  <si>
    <t>□ Mission Profile</t>
    <phoneticPr fontId="2"/>
  </si>
  <si>
    <t>℃/W</t>
    <phoneticPr fontId="11"/>
  </si>
  <si>
    <t>■ Die FIT rate (①X②)</t>
    <phoneticPr fontId="2"/>
  </si>
  <si>
    <t xml:space="preserve">■ PKG FIT rate </t>
    <phoneticPr fontId="2"/>
  </si>
  <si>
    <t xml:space="preserve">■ IC Total FIT rate </t>
    <phoneticPr fontId="2"/>
  </si>
  <si>
    <t xml:space="preserve">고장Mode
</t>
    <phoneticPr fontId="2"/>
  </si>
  <si>
    <t>effects on the IC output</t>
    <phoneticPr fontId="2"/>
  </si>
  <si>
    <t>IC단품으로써의 영향</t>
    <rPh sb="0" eb="11">
      <t>タンタイ</t>
    </rPh>
    <phoneticPr fontId="2"/>
  </si>
  <si>
    <t>ECU (시스템)에의 영향</t>
    <phoneticPr fontId="2"/>
  </si>
  <si>
    <t>비교</t>
    <rPh sb="0" eb="2">
      <t>ヒリツ</t>
    </rPh>
    <phoneticPr fontId="2"/>
  </si>
  <si>
    <t>안전에 걸리는지?</t>
    <rPh sb="0" eb="2">
      <t>アンゼン</t>
    </rPh>
    <phoneticPr fontId="2"/>
  </si>
  <si>
    <t>항목고장율
(FIT)</t>
    <rPh sb="0" eb="2">
      <t>コウモク</t>
    </rPh>
    <rPh sb="2" eb="5">
      <t>コショウリツ</t>
    </rPh>
    <phoneticPr fontId="2"/>
  </si>
  <si>
    <t>안전고장의 비율</t>
    <rPh sb="0" eb="2">
      <t>アンゼン</t>
    </rPh>
    <rPh sb="2" eb="4">
      <t>コショウ</t>
    </rPh>
    <rPh sb="5" eb="7">
      <t>ワリアイ</t>
    </rPh>
    <phoneticPr fontId="2"/>
  </si>
  <si>
    <t>안전기구
(IC)</t>
    <rPh sb="0" eb="2">
      <t>アンゼン</t>
    </rPh>
    <rPh sb="2" eb="4">
      <t>キコウ</t>
    </rPh>
    <phoneticPr fontId="2"/>
  </si>
  <si>
    <t>안전기구
(System)</t>
    <rPh sb="0" eb="2">
      <t>アンゼン</t>
    </rPh>
    <rPh sb="2" eb="4">
      <t>キコウ</t>
    </rPh>
    <phoneticPr fontId="2"/>
  </si>
  <si>
    <t>검출율
（SPF）</t>
    <rPh sb="0" eb="2">
      <t>ケンシュツ</t>
    </rPh>
    <rPh sb="2" eb="3">
      <t>リツ</t>
    </rPh>
    <phoneticPr fontId="2"/>
  </si>
  <si>
    <t>잔존고장의 고장율
(FIT)</t>
    <rPh sb="0" eb="2">
      <t>ザンゾン</t>
    </rPh>
    <rPh sb="2" eb="4">
      <t>コショウ</t>
    </rPh>
    <rPh sb="5" eb="8">
      <t>コショウリツ</t>
    </rPh>
    <phoneticPr fontId="2"/>
  </si>
  <si>
    <t>Latent Failure
는 안전에 걸리는지?</t>
    <rPh sb="15" eb="17">
      <t>アンゼン</t>
    </rPh>
    <phoneticPr fontId="2"/>
  </si>
  <si>
    <t>검출율</t>
    <rPh sb="0" eb="2">
      <t>ケンシュツ</t>
    </rPh>
    <rPh sb="2" eb="3">
      <t>リツ</t>
    </rPh>
    <phoneticPr fontId="2"/>
  </si>
  <si>
    <t>Latent Failure
의 고장율
(FIT)</t>
    <rPh sb="15" eb="18">
      <t>コショウリツ</t>
    </rPh>
    <phoneticPr fontId="2"/>
  </si>
  <si>
    <t>Pad명</t>
    <phoneticPr fontId="3" type="noConversion"/>
  </si>
  <si>
    <t>보호 소자 쇼트처(전원 소스)</t>
    <phoneticPr fontId="3" type="noConversion"/>
  </si>
  <si>
    <t>각 PAD
고장율
(FIT)</t>
    <phoneticPr fontId="3" type="noConversion"/>
  </si>
  <si>
    <t>비율
(50% 고정)</t>
    <phoneticPr fontId="3" type="noConversion"/>
  </si>
  <si>
    <t>안전과 관계되는가?</t>
    <phoneticPr fontId="3" type="noConversion"/>
  </si>
  <si>
    <t>항목 고장율(FIT)</t>
    <phoneticPr fontId="3" type="noConversion"/>
  </si>
  <si>
    <t>안전 고장의 비율</t>
    <phoneticPr fontId="3" type="noConversion"/>
  </si>
  <si>
    <t>안전 기구
(IC)</t>
    <phoneticPr fontId="3" type="noConversion"/>
  </si>
  <si>
    <t>안전 기구
(System)</t>
    <phoneticPr fontId="3" type="noConversion"/>
  </si>
  <si>
    <t>Latent Failure는 안전과 관계되는가?</t>
    <phoneticPr fontId="3" type="noConversion"/>
  </si>
  <si>
    <t>Latent Failure의 고장율(FIT)</t>
    <phoneticPr fontId="3" type="noConversion"/>
  </si>
  <si>
    <t>Comment</t>
    <phoneticPr fontId="2"/>
  </si>
  <si>
    <t>고장 모드
번호
PSG (Pad Short to GND)</t>
    <phoneticPr fontId="2"/>
  </si>
  <si>
    <t xml:space="preserve">Pad명
</t>
    <phoneticPr fontId="3" type="noConversion"/>
  </si>
  <si>
    <t>Latent Failure의 고장율(FIT)</t>
    <phoneticPr fontId="3" type="noConversion"/>
  </si>
  <si>
    <t>Comment</t>
    <phoneticPr fontId="2"/>
  </si>
  <si>
    <t>고장 모드
번호
APS(Adjacent Pin Short)</t>
    <phoneticPr fontId="3" type="noConversion"/>
  </si>
  <si>
    <t>PIN#</t>
    <phoneticPr fontId="3" type="noConversion"/>
  </si>
  <si>
    <t>단자명</t>
    <phoneticPr fontId="3" type="noConversion"/>
  </si>
  <si>
    <t>PIN#</t>
    <phoneticPr fontId="3" type="noConversion"/>
  </si>
  <si>
    <t>각 단자
고장율(FIT)</t>
    <phoneticPr fontId="3" type="noConversion"/>
  </si>
  <si>
    <t>IC단품으로서의 영향
(안전 기구가 없는 경우)</t>
    <phoneticPr fontId="3" type="noConversion"/>
  </si>
  <si>
    <t>ECU(시스템)에의 영향
(안전 기구가 없는 경우)</t>
    <phoneticPr fontId="3" type="noConversion"/>
  </si>
  <si>
    <t>비율
(10% 고정)</t>
    <phoneticPr fontId="3" type="noConversion"/>
  </si>
  <si>
    <t>안전 기구</t>
    <phoneticPr fontId="3" type="noConversion"/>
  </si>
  <si>
    <t>IC TOTAL</t>
    <phoneticPr fontId="2"/>
  </si>
  <si>
    <t>* 오버스트레스에 의한 고장율은 πⅠ×λEOS를 0fit 산정</t>
  </si>
  <si>
    <t>System Comment</t>
    <phoneticPr fontId="2"/>
  </si>
  <si>
    <t>system Request</t>
    <rPh sb="6" eb="8">
      <t>カイトウ</t>
    </rPh>
    <rPh sb="8" eb="9">
      <t>オヨ</t>
    </rPh>
    <rPh sb="10" eb="12">
      <t>カクニン</t>
    </rPh>
    <phoneticPr fontId="2"/>
  </si>
  <si>
    <t>IC단품영향에 대처와 판단</t>
    <rPh sb="7" eb="9">
      <t>タンタイ</t>
    </rPh>
    <rPh sb="9" eb="11">
      <t>エイキョウタイショハンダン</t>
    </rPh>
    <phoneticPr fontId="2"/>
  </si>
  <si>
    <t>고장 모드
번호
PKO(PacKage Open)</t>
    <phoneticPr fontId="3" type="noConversion"/>
  </si>
  <si>
    <t>PIN#</t>
    <phoneticPr fontId="3" type="noConversion"/>
  </si>
  <si>
    <t>단자명</t>
    <phoneticPr fontId="3" type="noConversion"/>
  </si>
  <si>
    <t xml:space="preserve">보호 소자 쇼트처
</t>
    <phoneticPr fontId="3" type="noConversion"/>
  </si>
  <si>
    <t>각 단자
고장율(FIT)</t>
    <phoneticPr fontId="3" type="noConversion"/>
  </si>
  <si>
    <t>IC단품으로서의 영향
(안전 기구가 없는 경우)</t>
    <phoneticPr fontId="3" type="noConversion"/>
  </si>
  <si>
    <t>ECU(시스템)에의 영향
(안전 기구가 없는 경우)</t>
    <phoneticPr fontId="3" type="noConversion"/>
  </si>
  <si>
    <t>비율
(90% 고정)</t>
    <phoneticPr fontId="3" type="noConversion"/>
  </si>
  <si>
    <t>안전과 관계되는가?</t>
    <phoneticPr fontId="3" type="noConversion"/>
  </si>
  <si>
    <t>항목 고장율(FIT)</t>
    <phoneticPr fontId="3" type="noConversion"/>
  </si>
  <si>
    <t>안전 고장의 비율</t>
    <phoneticPr fontId="3" type="noConversion"/>
  </si>
  <si>
    <t>안전 기구
(IC)</t>
    <phoneticPr fontId="3" type="noConversion"/>
  </si>
  <si>
    <t>안전 기구
(System)</t>
    <phoneticPr fontId="3" type="noConversion"/>
  </si>
  <si>
    <t>Latent Failure는 안전과 관계되는가?</t>
    <phoneticPr fontId="3" type="noConversion"/>
  </si>
  <si>
    <t>안전 기구
(IC)</t>
    <phoneticPr fontId="3" type="noConversion"/>
  </si>
  <si>
    <t>Latent Failure의 고장율(FIT)</t>
    <phoneticPr fontId="3" type="noConversion"/>
  </si>
  <si>
    <t>Comment</t>
    <phoneticPr fontId="2"/>
  </si>
  <si>
    <t>Part5 8.4.5, 8.4.6, 9.4.2.1, 9.4.2.2, 9.4.2.3 a)-d)</t>
    <phoneticPr fontId="2"/>
  </si>
  <si>
    <t xml:space="preserve">Unintended activation of the power supplies shall be avoided </t>
  </si>
  <si>
    <t xml:space="preserve">Avoid transmission of corrupted wrong data to MCU via MCU interface </t>
  </si>
  <si>
    <t>Unintended activation of the electrical relay driver shall be avoided</t>
  </si>
  <si>
    <t>SG2 - ASIL B</t>
    <phoneticPr fontId="3" type="noConversion"/>
  </si>
  <si>
    <t>SG3 - ASIL B</t>
    <phoneticPr fontId="3" type="noConversion"/>
  </si>
  <si>
    <t>Comment</t>
    <phoneticPr fontId="2"/>
  </si>
  <si>
    <t xml:space="preserve">
Comment</t>
    <phoneticPr fontId="2"/>
  </si>
  <si>
    <t xml:space="preserve">Latent Failure의 고장율(FIT)
</t>
    <phoneticPr fontId="3" type="noConversion"/>
  </si>
  <si>
    <t xml:space="preserve">안전 기구
(System)
</t>
    <phoneticPr fontId="3" type="noConversion"/>
  </si>
  <si>
    <t xml:space="preserve">안전 기구
(IC)
</t>
    <phoneticPr fontId="3" type="noConversion"/>
  </si>
  <si>
    <t xml:space="preserve">Latent Failure는 안전과 관계되는가?
</t>
    <phoneticPr fontId="3" type="noConversion"/>
  </si>
  <si>
    <t>Approved by</t>
    <phoneticPr fontId="3" type="noConversion"/>
  </si>
  <si>
    <t>ISO 26262 parts which are not referred</t>
    <rPh sb="0" eb="2">
      <t>ジュンキョ</t>
    </rPh>
    <rPh sb="5" eb="7">
      <t>カショ</t>
    </rPh>
    <rPh sb="8" eb="10">
      <t>メイジ</t>
    </rPh>
    <phoneticPr fontId="2"/>
  </si>
  <si>
    <t>Hazard information found during analysis</t>
    <rPh sb="0" eb="3">
      <t>ブンセキチュウ</t>
    </rPh>
    <rPh sb="4" eb="5">
      <t>ミ</t>
    </rPh>
    <rPh sb="9" eb="11">
      <t>ソウテイ</t>
    </rPh>
    <rPh sb="11" eb="12">
      <t>ガイ</t>
    </rPh>
    <rPh sb="17" eb="19">
      <t>ジョウホウ</t>
    </rPh>
    <phoneticPr fontId="2"/>
  </si>
  <si>
    <t>ASIL
Judgment
(SPF,RF)</t>
    <phoneticPr fontId="2"/>
  </si>
  <si>
    <t>ASIL
Judgment
(LF)</t>
    <phoneticPr fontId="2"/>
  </si>
  <si>
    <t>year of manufacturing</t>
    <phoneticPr fontId="2"/>
  </si>
  <si>
    <t>Width</t>
    <rPh sb="0" eb="1">
      <t>ヨコ</t>
    </rPh>
    <phoneticPr fontId="11"/>
  </si>
  <si>
    <t>Height</t>
    <rPh sb="0" eb="1">
      <t>タテ</t>
    </rPh>
    <phoneticPr fontId="11"/>
  </si>
  <si>
    <t>Area</t>
    <rPh sb="0" eb="2">
      <t>メンセキ</t>
    </rPh>
    <phoneticPr fontId="11"/>
  </si>
  <si>
    <t>Number of blocks</t>
    <rPh sb="0" eb="2">
      <t>ケイトウスウ</t>
    </rPh>
    <phoneticPr fontId="11"/>
  </si>
  <si>
    <t>Adjust the Wiring Area</t>
    <rPh sb="0" eb="2">
      <t>ハイセン</t>
    </rPh>
    <rPh sb="2" eb="4">
      <t>リョウイキ</t>
    </rPh>
    <rPh sb="5" eb="7">
      <t>チョウセイ</t>
    </rPh>
    <phoneticPr fontId="2"/>
  </si>
  <si>
    <t>Total Area</t>
    <rPh sb="0" eb="1">
      <t>ケイ</t>
    </rPh>
    <rPh sb="1" eb="3">
      <t>メンセキ</t>
    </rPh>
    <phoneticPr fontId="11"/>
  </si>
  <si>
    <t>Area Ratio</t>
    <rPh sb="0" eb="2">
      <t>メンセキ</t>
    </rPh>
    <rPh sb="2" eb="4">
      <t>ヒリツ</t>
    </rPh>
    <phoneticPr fontId="2"/>
  </si>
  <si>
    <t>고장 모드
번호
PSP (Pad Short to Power)</t>
    <phoneticPr fontId="3" type="noConversion"/>
  </si>
  <si>
    <t>Name</t>
    <phoneticPr fontId="2"/>
  </si>
  <si>
    <t>value in this column is used to calculate base failure rate. It should be described by engineer.</t>
    <rPh sb="0" eb="2">
      <t>トウシバ</t>
    </rPh>
    <rPh sb="4" eb="6">
      <t>ニュウリョクコウモク</t>
    </rPh>
    <phoneticPr fontId="11"/>
  </si>
  <si>
    <t>value in this column is automatically calculated</t>
    <phoneticPr fontId="3" type="noConversion"/>
  </si>
  <si>
    <t>Die area</t>
    <phoneticPr fontId="3" type="noConversion"/>
  </si>
  <si>
    <t xml:space="preserve">Die area </t>
    <phoneticPr fontId="3" type="noConversion"/>
  </si>
  <si>
    <t>Block area</t>
    <phoneticPr fontId="3" type="noConversion"/>
  </si>
  <si>
    <t>Pad</t>
    <phoneticPr fontId="3" type="noConversion"/>
  </si>
  <si>
    <t>Total area[mm^]</t>
    <phoneticPr fontId="3" type="noConversion"/>
  </si>
  <si>
    <t>Block(total)</t>
    <phoneticPr fontId="2"/>
  </si>
  <si>
    <t>IC 단품으로써의 영향</t>
    <phoneticPr fontId="3" type="noConversion"/>
  </si>
  <si>
    <t>Failure rate [FIT]</t>
    <phoneticPr fontId="2"/>
  </si>
  <si>
    <t>Residual or Single Point Fault
failure rate
[FIT]</t>
    <phoneticPr fontId="2"/>
  </si>
  <si>
    <t>Latent Multiple Point Fault
failure rate
[FIT]</t>
    <phoneticPr fontId="2"/>
  </si>
  <si>
    <t>PAD Failure rate 
[FIT]</t>
    <phoneticPr fontId="2"/>
  </si>
  <si>
    <t>Failure rate [FIT]</t>
    <phoneticPr fontId="3" type="noConversion"/>
  </si>
  <si>
    <t>Residual or Single Point Fault
failure rate [FIT]</t>
    <phoneticPr fontId="3" type="noConversion"/>
  </si>
  <si>
    <t>Latent Multiple Point Fault
failure rate
[FIT]</t>
    <phoneticPr fontId="3" type="noConversion"/>
  </si>
  <si>
    <t>Failure rate
[FIT]</t>
    <phoneticPr fontId="3" type="noConversion"/>
  </si>
  <si>
    <t>Latent Multiple Point Fault
failure rate 
[FIT]</t>
    <phoneticPr fontId="3" type="noConversion"/>
  </si>
  <si>
    <t>Failure rate
[FIT]</t>
    <phoneticPr fontId="2"/>
  </si>
  <si>
    <t>PAD Failure rate
[FIT]</t>
    <phoneticPr fontId="2"/>
  </si>
  <si>
    <t>FIT rate calculation</t>
    <phoneticPr fontId="3" type="noConversion"/>
  </si>
  <si>
    <t>Package Failure rate [FIT]</t>
    <rPh sb="5" eb="8">
      <t>コショウリツ</t>
    </rPh>
    <phoneticPr fontId="2"/>
  </si>
  <si>
    <t>Percentage of Safe Faults</t>
    <phoneticPr fontId="2"/>
  </si>
  <si>
    <t>Pin Name</t>
    <phoneticPr fontId="14"/>
  </si>
  <si>
    <t>Number of Failure mode</t>
    <rPh sb="0" eb="1">
      <t>ク</t>
    </rPh>
    <rPh sb="2" eb="3">
      <t>アスウ</t>
    </rPh>
    <phoneticPr fontId="2"/>
  </si>
  <si>
    <t>Pad count</t>
    <rPh sb="2" eb="3">
      <t>スウ</t>
    </rPh>
    <phoneticPr fontId="2"/>
  </si>
  <si>
    <t>Comment
(about dedicated measure, if applicable)</t>
    <phoneticPr fontId="2"/>
  </si>
  <si>
    <t>Die(Core)</t>
    <phoneticPr fontId="3" type="noConversion"/>
  </si>
  <si>
    <t>Bonding (Open)</t>
    <phoneticPr fontId="2"/>
  </si>
  <si>
    <t>PIN(Near short)</t>
    <phoneticPr fontId="2"/>
  </si>
  <si>
    <t>Part9 8.4.5</t>
    <phoneticPr fontId="3" type="noConversion"/>
  </si>
  <si>
    <t>This column is automatically calculated</t>
    <phoneticPr fontId="3" type="noConversion"/>
  </si>
  <si>
    <t>This column should be described by engineer.</t>
    <rPh sb="0" eb="2">
      <t>トウシバ</t>
    </rPh>
    <rPh sb="4" eb="6">
      <t>ニュウリョクコウモク</t>
    </rPh>
    <phoneticPr fontId="11"/>
  </si>
  <si>
    <t>Tac_7</t>
  </si>
  <si>
    <t>Tac_8</t>
  </si>
  <si>
    <t>Tac_9</t>
  </si>
  <si>
    <t>Tac_10</t>
  </si>
  <si>
    <t>Tac_11</t>
  </si>
  <si>
    <t>Tac_12</t>
  </si>
  <si>
    <t>Tac_13</t>
  </si>
  <si>
    <t>Tac_14</t>
  </si>
  <si>
    <t>Tac_15</t>
  </si>
  <si>
    <t>Tac_16</t>
  </si>
  <si>
    <t>Tac_17</t>
  </si>
  <si>
    <t>- Analog part : &lt;6V</t>
    <phoneticPr fontId="2"/>
  </si>
  <si>
    <t>Cell unit (&lt;6V)</t>
    <phoneticPr fontId="2"/>
  </si>
  <si>
    <t>Cell unit (&gt;=6V)</t>
    <phoneticPr fontId="11"/>
  </si>
  <si>
    <t>- Analog part : &gt;=6V</t>
    <phoneticPr fontId="2"/>
  </si>
  <si>
    <t>DFA</t>
    <phoneticPr fontId="2"/>
  </si>
  <si>
    <t>DFA (Dependent Failure Analysis)（Analysis on each combination of SM and IF)</t>
    <phoneticPr fontId="3" type="noConversion"/>
  </si>
  <si>
    <t>ID</t>
    <phoneticPr fontId="2"/>
  </si>
  <si>
    <t>IF block</t>
    <phoneticPr fontId="2"/>
  </si>
  <si>
    <t>DFI
(DFIs are chosen in the list of DFI)</t>
    <phoneticPr fontId="2"/>
  </si>
  <si>
    <t>Description</t>
    <phoneticPr fontId="2"/>
  </si>
  <si>
    <t>cause of DFI</t>
    <phoneticPr fontId="3" type="noConversion"/>
  </si>
  <si>
    <t>Effect of DFI   for  Review</t>
    <phoneticPr fontId="2"/>
  </si>
  <si>
    <t>Relevant SM as mitigation　　　　　　　　　　(경감의 관련 SM)</t>
    <phoneticPr fontId="2"/>
  </si>
  <si>
    <t>Verification method</t>
    <phoneticPr fontId="2"/>
  </si>
  <si>
    <t>DFA-1</t>
    <phoneticPr fontId="17"/>
  </si>
  <si>
    <t>DFI-R4</t>
  </si>
  <si>
    <t>List of DFI in accordance with ISO 26262:2018, Part 11-4.7</t>
    <phoneticPr fontId="3" type="noConversion"/>
  </si>
  <si>
    <t>Type</t>
    <phoneticPr fontId="2"/>
  </si>
  <si>
    <t>Reference</t>
    <phoneticPr fontId="2"/>
  </si>
  <si>
    <t>Strategy</t>
    <phoneticPr fontId="2"/>
  </si>
  <si>
    <t>Argument</t>
    <phoneticPr fontId="2"/>
  </si>
  <si>
    <t>DFI-S1</t>
    <phoneticPr fontId="6"/>
  </si>
  <si>
    <t>Shared Resource</t>
    <phoneticPr fontId="6"/>
  </si>
  <si>
    <t>Table 21</t>
    <phoneticPr fontId="6"/>
  </si>
  <si>
    <t>Common Clock (including PLL, clock trees, clock enables signals, etc…)</t>
    <phoneticPr fontId="6"/>
  </si>
  <si>
    <t>Checking on each safety mechanism or each redundant pair of fucntion.</t>
    <phoneticPr fontId="6"/>
  </si>
  <si>
    <t>Since common clocks are provided to each block, all dependent failures can be analyzed on each combination of IF + SM, redundunt pair of IF and  combination of SM + its monitoring block (i.e. BIST).</t>
    <phoneticPr fontId="6"/>
  </si>
  <si>
    <t>DFI-S2</t>
    <phoneticPr fontId="6"/>
  </si>
  <si>
    <t>Common test logic including DFT (Design for Test) signals, scan chains etc…, common debug logic including debug routing network (network that provides access to analogue or digital signals or allows to read digital registers) and trace signals (mechanism to trace one or more signals synchronously (e.g. controlled by triggers or trace clocks and read the result afterwards)</t>
    <phoneticPr fontId="6"/>
  </si>
  <si>
    <t>Since common test signal  are provided to each block, all dependent failures can be analyzed on each combination of IF + SM, redundunt pair of IF and  combination of SM + its monitoring block (i.e. BIST).</t>
    <phoneticPr fontId="6"/>
  </si>
  <si>
    <t>DFI-S3</t>
  </si>
  <si>
    <t>Power supply elements including power distribution network, common voltage regulators,</t>
    <phoneticPr fontId="6"/>
  </si>
  <si>
    <t>Since power supplies are distributed to each block, all dependent failures can be analyzed on each combination of IF + SM, redundunt pair of IF and  combination of SM + its monitoring block (i.e. BIST).</t>
    <phoneticPr fontId="6"/>
  </si>
  <si>
    <t>DFI-S4</t>
    <phoneticPr fontId="6"/>
  </si>
  <si>
    <t>Common references (e.g. band-gaps, bias generators and related network)</t>
    <phoneticPr fontId="6"/>
  </si>
  <si>
    <t>Since common voltage / cirrent reference are distributed to each block, all dependent failures can be analyzed on each combination of IF + SM, redundunt pair of IF and  combination of SM + its monitoring block (i.e. BIST).</t>
    <phoneticPr fontId="6"/>
  </si>
  <si>
    <t>DFI-S5</t>
  </si>
  <si>
    <t>Non simultaneous supply switch-on,  that can cause effects like latch up or high in-rush current</t>
    <phoneticPr fontId="6"/>
  </si>
  <si>
    <t>Checking on the power sequences based on understanding the process technology.</t>
    <phoneticPr fontId="6"/>
  </si>
  <si>
    <t>The sequence of power supply is controlled by logic. And latch up or inrush current  occure based on the characteristic of semicomductor process. Therefore considering the process and its sequence can fulfill the requirement for DFA.</t>
    <phoneticPr fontId="6"/>
  </si>
  <si>
    <t>DFI-S6</t>
  </si>
  <si>
    <t>Common reset logic including reset signals</t>
    <phoneticPr fontId="6"/>
  </si>
  <si>
    <t>Since common reset signals are distributed to each block, all dependent failures can be analyzed on each combination of IF + SM, redundunt pair of IF and combination of SM + its monitoring block (i.e. BIST).</t>
    <phoneticPr fontId="6"/>
  </si>
  <si>
    <t>DFI-S7</t>
  </si>
  <si>
    <t>Shared modules (e.g. RAM, Flash, ADC, Timers, DMA, Interrupt Controller, Busses, etc…)</t>
    <phoneticPr fontId="6"/>
  </si>
  <si>
    <t>Checking on each safety mechanism</t>
    <phoneticPr fontId="6"/>
  </si>
  <si>
    <t>Since shared modules are used by each block, all dependent failures can be analyzed on each combination of IF + SM, redundunt pair of IF and combination of SM + its monitoring block (i.e. BIST).</t>
    <phoneticPr fontId="6"/>
  </si>
  <si>
    <t>DFI-R1</t>
    <phoneticPr fontId="6"/>
  </si>
  <si>
    <t>Random phisical root cause</t>
    <phoneticPr fontId="6"/>
  </si>
  <si>
    <t>Table 22</t>
    <phoneticPr fontId="6"/>
  </si>
  <si>
    <t xml:space="preserve">Short circuits due to e.g.: local defects, electro migration, via migration, contact migration, oxide break down </t>
    <phoneticPr fontId="6"/>
  </si>
  <si>
    <t>Covered by FMEA in qualitative safety analysis</t>
    <phoneticPr fontId="6"/>
  </si>
  <si>
    <t>Consequence caused by such failure modes are considered to be failure modes which are already analyized in FMEA on each block. Remaining things are the failures on shared resource which will be analyzed in DFI-S7.</t>
    <phoneticPr fontId="6"/>
  </si>
  <si>
    <t>DFI-R2</t>
    <phoneticPr fontId="6"/>
  </si>
  <si>
    <t>Covered by LUP test as QM process</t>
    <phoneticPr fontId="6"/>
  </si>
  <si>
    <t>Latch-up is tested in reliability test. This fullfill the requirement.</t>
    <phoneticPr fontId="6"/>
  </si>
  <si>
    <t>DFI-R3</t>
  </si>
  <si>
    <t>Cross talk (substrate current, capacitive coupling)</t>
    <phoneticPr fontId="6"/>
  </si>
  <si>
    <t>Covered by existing layout check in QM</t>
    <phoneticPr fontId="6"/>
  </si>
  <si>
    <t>The potential effect of cross talk is reviewed in design review. This fulfill the requirement.</t>
    <phoneticPr fontId="6"/>
  </si>
  <si>
    <t>Local heating caused e.g. by defective voltage regulators or output drivers.</t>
    <phoneticPr fontId="6"/>
  </si>
  <si>
    <t>Covered by phisical isolation (DTI) in QM</t>
    <phoneticPr fontId="6"/>
  </si>
  <si>
    <t>Local heating can be detected and prevented by local thermal sensor which can lead immediate shutdown if needed.
This fulfills the requirement.</t>
    <phoneticPr fontId="6"/>
  </si>
  <si>
    <t>DFI-E1</t>
    <phoneticPr fontId="6"/>
  </si>
  <si>
    <t>Environmental Conditions</t>
    <phoneticPr fontId="6"/>
  </si>
  <si>
    <t>Table 23</t>
    <phoneticPr fontId="6"/>
  </si>
  <si>
    <t>Temperature</t>
    <phoneticPr fontId="6"/>
  </si>
  <si>
    <t>Covered by AEC-Q100 qualification</t>
    <phoneticPr fontId="6"/>
  </si>
  <si>
    <t>The device is evaluated under all whole temperature conditions. And temerature cycle test is conducted in reliability test. This fulfills the requirement.</t>
    <phoneticPr fontId="6"/>
  </si>
  <si>
    <t>DFI-E2</t>
    <phoneticPr fontId="6"/>
  </si>
  <si>
    <t>Vibration</t>
    <phoneticPr fontId="6"/>
  </si>
  <si>
    <t>Vibration test is conducted in reliability test. This fulfills the requirement.</t>
    <phoneticPr fontId="6"/>
  </si>
  <si>
    <t>DFI-E3</t>
  </si>
  <si>
    <t>Pressure</t>
    <phoneticPr fontId="6"/>
  </si>
  <si>
    <t>High pressure test is conducted in reliability test. This fulfills the requirement.</t>
    <phoneticPr fontId="6"/>
  </si>
  <si>
    <t>DFI-E4</t>
  </si>
  <si>
    <t>Humidity / Condensation</t>
    <phoneticPr fontId="6"/>
  </si>
  <si>
    <t>Regarding humidity, humidity test is conducted in reliability test and pin-to-pin short analysis covers effect of condensation. These fulfill the requirement.</t>
    <phoneticPr fontId="6"/>
  </si>
  <si>
    <t>DFI-E5</t>
  </si>
  <si>
    <t>Corrosion</t>
    <phoneticPr fontId="6"/>
  </si>
  <si>
    <t>Test concering corrstion is conducted in reliability test. This fulfill the requreiment.</t>
    <phoneticPr fontId="6"/>
  </si>
  <si>
    <t>DFI-E6</t>
  </si>
  <si>
    <t>EMI</t>
    <phoneticPr fontId="6"/>
  </si>
  <si>
    <t>Covered by EMI Test as QM process.</t>
    <phoneticPr fontId="6"/>
  </si>
  <si>
    <t>EMI test is conducted and observed if mulfunctions occur or not. This fulfill the requirement.</t>
    <phoneticPr fontId="6"/>
  </si>
  <si>
    <t>DFI-E7</t>
  </si>
  <si>
    <t>Overvoltage applied from external</t>
    <phoneticPr fontId="6"/>
  </si>
  <si>
    <t>Input voltage outside of recommended operation range is prohibited in the system.
Power lines into the device are considered in DFA.</t>
    <phoneticPr fontId="6"/>
  </si>
  <si>
    <t>DFI-E8</t>
  </si>
  <si>
    <t>Mechanical Stress</t>
    <phoneticPr fontId="6"/>
  </si>
  <si>
    <t>Mechanical stress test is conducted in reliability test. This fulfill the requirement.</t>
    <phoneticPr fontId="6"/>
  </si>
  <si>
    <t>DFI-E9</t>
  </si>
  <si>
    <t>Wear</t>
    <phoneticPr fontId="6"/>
  </si>
  <si>
    <t>Accelerated lifetime simulation tests are conducted in reliabilty test. These fulfill the requirement.</t>
    <phoneticPr fontId="6"/>
  </si>
  <si>
    <t>DFI-E10</t>
  </si>
  <si>
    <t>Aging</t>
    <phoneticPr fontId="6"/>
  </si>
  <si>
    <t>DFI-D1</t>
    <phoneticPr fontId="6"/>
  </si>
  <si>
    <t>Development
Faults</t>
    <phoneticPr fontId="6"/>
  </si>
  <si>
    <t>Table 24</t>
    <phoneticPr fontId="6"/>
  </si>
  <si>
    <t>Requirement faults</t>
    <phoneticPr fontId="6"/>
  </si>
  <si>
    <t>Traceablilty among documents fullfills the requirement.</t>
    <phoneticPr fontId="6"/>
  </si>
  <si>
    <t>DFI-D2</t>
  </si>
  <si>
    <t>Specification errors</t>
    <phoneticPr fontId="6"/>
  </si>
  <si>
    <t>DFI-D3</t>
  </si>
  <si>
    <t>Implementation faults</t>
    <phoneticPr fontId="6"/>
  </si>
  <si>
    <t>DFI-D4</t>
  </si>
  <si>
    <t>Incorrect implementation of functionality</t>
    <phoneticPr fontId="6"/>
  </si>
  <si>
    <t>DFI-D5</t>
  </si>
  <si>
    <t>Lack of insufficiency of Latch up prevension measures</t>
    <phoneticPr fontId="6"/>
  </si>
  <si>
    <t>DFI-D6</t>
  </si>
  <si>
    <t>Wrong microcontroller configuration</t>
    <phoneticPr fontId="6"/>
  </si>
  <si>
    <t>Not applicable</t>
    <phoneticPr fontId="6"/>
  </si>
  <si>
    <t>N/A</t>
    <phoneticPr fontId="6"/>
  </si>
  <si>
    <t>DFI-D7</t>
  </si>
  <si>
    <t>Layout faultsm such as incorrect routing e.g. over redundant blocks, insufficient insulation, insufficient distance, insufficient EMI shielding</t>
    <phoneticPr fontId="6"/>
  </si>
  <si>
    <t>DFI-D8</t>
  </si>
  <si>
    <t>Temperature due to local heating of power consuming parts of the die</t>
    <phoneticPr fontId="6"/>
  </si>
  <si>
    <t>As long as all circuit blocks work properly. Effect caused by mulfunction is considered in DFI-R4.</t>
    <phoneticPr fontId="6"/>
  </si>
  <si>
    <t>DFI-D9</t>
  </si>
  <si>
    <t>Temperature gradients causing mismatches within sensitive measurement circuitry</t>
    <phoneticPr fontId="6"/>
  </si>
  <si>
    <t>DFI-M1</t>
    <phoneticPr fontId="6"/>
  </si>
  <si>
    <t>Manufacturing faults</t>
    <phoneticPr fontId="6"/>
  </si>
  <si>
    <t>Table 25</t>
    <phoneticPr fontId="6"/>
  </si>
  <si>
    <t>Related to processes procedures and training</t>
    <phoneticPr fontId="6"/>
  </si>
  <si>
    <t>DFI-M2</t>
  </si>
  <si>
    <t>Faults in control plans and in monitoring of special characteristics</t>
    <phoneticPr fontId="6"/>
  </si>
  <si>
    <t>DFI-M3</t>
  </si>
  <si>
    <t>Related to software flashing and end-of-line programming (e.g. wrong versions or wrong programming conditions, protocols or timings)</t>
    <phoneticPr fontId="6"/>
  </si>
  <si>
    <t>DFI-M4</t>
  </si>
  <si>
    <t>Mask misalignment</t>
    <phoneticPr fontId="6"/>
  </si>
  <si>
    <t>DFI-M5</t>
  </si>
  <si>
    <t>Incorrect End-of-Line trimming or fusing (e.g. Laser trimming, OTP or EEPROM  programming of calibration coefficients or customization settings)</t>
    <phoneticPr fontId="6"/>
  </si>
  <si>
    <t>DFI-I1</t>
    <phoneticPr fontId="6"/>
  </si>
  <si>
    <t>Installation faults</t>
    <phoneticPr fontId="6"/>
  </si>
  <si>
    <t>Table 26</t>
    <phoneticPr fontId="6"/>
  </si>
  <si>
    <t>Related to wiring harness routing</t>
    <phoneticPr fontId="6"/>
  </si>
  <si>
    <t>DFI-I2</t>
  </si>
  <si>
    <t>Related to the inter-changeability of parts</t>
    <phoneticPr fontId="6"/>
  </si>
  <si>
    <t>DFI-I3</t>
  </si>
  <si>
    <t xml:space="preserve">Failures of adjacent items or parts or elements. 
(e.g. wrong configuration of a connected interface delivering data to an input
or
incorrect load on a driven output)
</t>
    <phoneticPr fontId="6"/>
  </si>
  <si>
    <t>DFI-I4</t>
  </si>
  <si>
    <t>Wrong microcontroller PCB connection</t>
    <phoneticPr fontId="6"/>
  </si>
  <si>
    <t>DFI-I5</t>
  </si>
  <si>
    <t>Wrong configuration (e.g. of spare memory usage)</t>
    <phoneticPr fontId="6"/>
  </si>
  <si>
    <t>Mitigation　for  Review</t>
    <phoneticPr fontId="2"/>
  </si>
  <si>
    <t>Covered by Mobis QMS
QMS is extended by FSM for all ASIL.</t>
  </si>
  <si>
    <t>Mobis QMS fulfills the requirement.</t>
  </si>
  <si>
    <t>Covered by Mobis QMS</t>
  </si>
  <si>
    <t>Covered by Mobis QMS.</t>
  </si>
  <si>
    <t>Covered by Mobis QMS ( ISO 26262-7 comliant)</t>
  </si>
  <si>
    <t>The product of Mobis shall be manufactured by qualified FAB (or package) companies via IATF 16949. ( of ISO 26262 Part 7)</t>
  </si>
  <si>
    <t>Covered by ISO 26262 compliant design process</t>
    <phoneticPr fontId="6"/>
  </si>
  <si>
    <t>Covered by Mobis QMS ( ISO 26262-7 compliant)</t>
    <phoneticPr fontId="3" type="noConversion"/>
  </si>
  <si>
    <t>Role</t>
    <phoneticPr fontId="3" type="noConversion"/>
  </si>
  <si>
    <t>Project name Safety Analysis Report</t>
  </si>
  <si>
    <t>History</t>
  </si>
  <si>
    <t>Author</t>
  </si>
  <si>
    <t xml:space="preserve">Version </t>
  </si>
  <si>
    <t>Change</t>
  </si>
  <si>
    <t>Date</t>
  </si>
  <si>
    <t>initial setup</t>
  </si>
  <si>
    <t>THLN</t>
  </si>
  <si>
    <t>I. Kök</t>
  </si>
  <si>
    <t>SM01</t>
  </si>
  <si>
    <t>Vega monitors system supply VDD pin voltage. If the supply voltage falls below a predefined threshold, the device transitions to OFF state, and all switches are set to open.</t>
  </si>
  <si>
    <t>SM02</t>
  </si>
  <si>
    <t>If VDD voltage exceeds the max nominal voltage, the switch between CPN and VDD is opened and the fault bit, VDD_OV_FLT, is set to 1.</t>
  </si>
  <si>
    <t>SM03</t>
  </si>
  <si>
    <t>Resistive FET, when it is supposed to be short. If the voltage across the switch when it is shorted is more than the predefined threshold, all the corresponding bits in the FLT_LEDON are set in the volatile memory.</t>
  </si>
  <si>
    <t>SM04</t>
  </si>
  <si>
    <t>Vega monitors open condition across each SW FET. If the voltage across each switch exceeds predefined threshold, the switch FET is closed and all the corresponding bits in the FLT_LEDON are set in the volatile memory.</t>
  </si>
  <si>
    <t>SM05</t>
  </si>
  <si>
    <t>Vega monitors short condition across each SW FET and reports if the voltage across each switch decreases below the predefined threshold during the time that switch is supposed to be open, a corresponding register bit is set in the volatile memory. LED short condition is reported to MCU via UART.</t>
  </si>
  <si>
    <t>SM06</t>
  </si>
  <si>
    <t>To check the health of the SW FET driver, the DRV_CHK bit in the OUTCTRL register can be set by MCU. Upon setting this bit, all the gate driver outputs are disconnected from the output switches and the gate biases are pulled low. If all the switches are correctly turned off and are at high-z, all the corresponding bits in the FAULT_OPEN_OR_DRV are set to "1".</t>
  </si>
  <si>
    <t>SM08</t>
  </si>
  <si>
    <t>If the CSEN bit is set in the SYSCFG register, the voltage across CS pin and GND is measured using an ADC. The measured results are stored in the CS register in the volatile memory.</t>
  </si>
  <si>
    <t>SM09</t>
  </si>
  <si>
    <t>If CMWEN bit in SYSCFG register is set, a CRC error check is performed on each UART transaction received from the MCU. If a valid UART transaction for more than a pre-programmed time is not received, the device enters the FAIL-SAFE state, and an associated error bit is set in the status register.</t>
  </si>
  <si>
    <t>SM10</t>
  </si>
  <si>
    <t>SM11</t>
  </si>
  <si>
    <t>When ID803 operates with the internal clock, a clock watchdog monitors the clock. If the internal clock fails, a sys_reset to the digital is issued and all switches are set to open position. In this case PWR bit is set.</t>
  </si>
  <si>
    <t>SM12</t>
  </si>
  <si>
    <t>The diagnostic PWM counter checks the output of each channel PWM counter in a round robin to make sure the output of each PWM counter is as programmed. If a PWM error count occurs, PWM_ERR bit is set in the STATUS register and a bit for a corresponding PWM counter is set in the PWM_MISCOUNT registers.</t>
  </si>
  <si>
    <t>SM13</t>
  </si>
  <si>
    <t>During FAIL-SAFE state, switches are set according to the FS-pin voltage, all switches shall be set to open if the voltage on the FS-pin is lower than VIL-TH, and shall be set to close if the voItage on the FS-pin is more than VIH-TH. The FS-pin can be connected to GND or the VDD. There is a FS_PIN bit in the STATUS1 register that shows the voltage level of the FS pin.</t>
  </si>
  <si>
    <t>SM14</t>
  </si>
  <si>
    <t>The charge pump voltage is monitored. If the charge pump voltage is decreased below a threshold, all the switches are set to open position. The CHPMP_ERR bit is set in the STATUS2 register if a charge pump error occurs.</t>
  </si>
  <si>
    <t>SM15</t>
  </si>
  <si>
    <t>When 1.8V internal voltage goes out of a specified voltage range, it generates a POR that resets digital and sets the output switches to open. The LDO_UV_FLT bit is then set to default value of '1'.</t>
  </si>
  <si>
    <t>SM16</t>
  </si>
  <si>
    <t>SM17</t>
  </si>
  <si>
    <t/>
  </si>
  <si>
    <t>The PTAT  voltage generated by die temperature monitor module is measured by an ADC. The measured die temperature value is compared with 175C thermal limit in digital. The TLMT bit is set in STATUS2 register if thermal limit occurs.</t>
  </si>
  <si>
    <t>SM18</t>
  </si>
  <si>
    <t>The ECC will correct 1 bit error and detect 2 bit error.</t>
  </si>
  <si>
    <t>D2.5.2 withSECDED and short exposition by NVM copy</t>
  </si>
  <si>
    <t>REF</t>
  </si>
  <si>
    <t>BIAS</t>
  </si>
  <si>
    <t>LDO</t>
  </si>
  <si>
    <t>OSC</t>
  </si>
  <si>
    <t>TEMP</t>
  </si>
  <si>
    <t>CSNS</t>
  </si>
  <si>
    <t>ADC</t>
  </si>
  <si>
    <t>CP</t>
  </si>
  <si>
    <t>LOGIC</t>
  </si>
  <si>
    <t>INTERFACE</t>
  </si>
  <si>
    <t>TRIM</t>
  </si>
  <si>
    <t>SW_BANK_1</t>
  </si>
  <si>
    <t>SW_BANK_2</t>
  </si>
  <si>
    <t>SW_BANK_3</t>
  </si>
  <si>
    <t>SW_BANK_4</t>
  </si>
  <si>
    <t>UART / digital interface</t>
  </si>
  <si>
    <t>NVM block with configuration data</t>
  </si>
  <si>
    <t>generates voltage 0.4x or 4.0x of V(CSP, GND)</t>
  </si>
  <si>
    <t>IC main control</t>
  </si>
  <si>
    <t xml:space="preserve">switch bank </t>
  </si>
  <si>
    <t>ELM-803-FS-0001</t>
  </si>
  <si>
    <t>Description of blocks, SM-list, lambda die</t>
  </si>
  <si>
    <t>X</t>
  </si>
  <si>
    <t>no effect</t>
  </si>
  <si>
    <t>B</t>
  </si>
  <si>
    <t>SG1 - ASIL B</t>
  </si>
  <si>
    <t>Failures in common clock elements (including PLL, clock trees, clock enable signals, etc.)</t>
  </si>
  <si>
    <t>Latch up</t>
  </si>
  <si>
    <t>LED4</t>
  </si>
  <si>
    <t>LED3</t>
  </si>
  <si>
    <t>LED2</t>
  </si>
  <si>
    <t>LED1A</t>
  </si>
  <si>
    <t>LED1K</t>
  </si>
  <si>
    <t>CS</t>
  </si>
  <si>
    <t>GND</t>
  </si>
  <si>
    <t>FS</t>
  </si>
  <si>
    <t>ADC1</t>
  </si>
  <si>
    <t>VDDO</t>
  </si>
  <si>
    <t>ADC2</t>
  </si>
  <si>
    <t>ADDR0</t>
  </si>
  <si>
    <t>VDD</t>
  </si>
  <si>
    <t>SYNC</t>
  </si>
  <si>
    <t>RX</t>
  </si>
  <si>
    <t>NC2</t>
  </si>
  <si>
    <t>ADDR1</t>
  </si>
  <si>
    <t>CLK_SEL</t>
  </si>
  <si>
    <t>TX</t>
  </si>
  <si>
    <t>NC1</t>
  </si>
  <si>
    <t>GND2</t>
  </si>
  <si>
    <t>LED5K</t>
  </si>
  <si>
    <t>LED11</t>
  </si>
  <si>
    <t>LED8</t>
  </si>
  <si>
    <t>LED5A</t>
  </si>
  <si>
    <t>LED10</t>
  </si>
  <si>
    <t>LED9K</t>
  </si>
  <si>
    <t>LED12</t>
  </si>
  <si>
    <t>LED6</t>
  </si>
  <si>
    <t>LED7</t>
  </si>
  <si>
    <t>LED9A</t>
  </si>
  <si>
    <t>NC3</t>
  </si>
  <si>
    <t>NC4</t>
  </si>
  <si>
    <t>LED13K</t>
  </si>
  <si>
    <t>ADDR3</t>
  </si>
  <si>
    <t>LED16</t>
  </si>
  <si>
    <t>LED13A</t>
  </si>
  <si>
    <t>GND3</t>
  </si>
  <si>
    <t>CPN</t>
  </si>
  <si>
    <t>ADDR2</t>
  </si>
  <si>
    <t>LED14</t>
  </si>
  <si>
    <t>LED15</t>
  </si>
  <si>
    <t>NC6</t>
  </si>
  <si>
    <t>NC5</t>
  </si>
  <si>
    <t>CPP</t>
  </si>
  <si>
    <t>excel-FMEDA 803 die FMEDA</t>
  </si>
  <si>
    <t>excel-FMEDA 803 package FMEDA</t>
  </si>
  <si>
    <t>Failures in common test logic including DFT (Design for Test) signals, scan chains etc., common debug logic including debug routing network (network that provides access to analogue or digital signals or enables reading of digital registers) and trace signals (mechanism to trace one or more signals synchronously, e.g. controlled by triggers or trace clocks and read the result afterwards)</t>
  </si>
  <si>
    <t>Non simultaneous supply switch on, that can cause effects like latch up or high inrush current</t>
  </si>
  <si>
    <t>Failures in common reset logic including reset signals</t>
  </si>
  <si>
    <t>Failures in power supply elements including power distribution network, common voltage regulators, common references (e.g. band-gaps, bias generators and related network)</t>
  </si>
  <si>
    <t>Failures in shared modules (e.g. RAM, Flash, ADC, Timers, DMA, Interrupt Controller, Busses, etc.)</t>
  </si>
  <si>
    <t>Shared modules (e.g. RAM, Flash, ADC, Timers, DMA, Interrupt Controller, Busses, etc…)</t>
  </si>
  <si>
    <t>SW_BANK_1,2,3,4</t>
  </si>
  <si>
    <t>random fault inits DFT circuit</t>
  </si>
  <si>
    <t>more circuitry under power, higher current leads to higher temperature</t>
  </si>
  <si>
    <t>Hamming code secured DFT latches</t>
  </si>
  <si>
    <t>junction temperature messaged to MCU, compared beween limits</t>
  </si>
  <si>
    <t xml:space="preserve">startup </t>
  </si>
  <si>
    <t>no effect, no big parallelism, same digital circuitry on startup</t>
  </si>
  <si>
    <t xml:space="preserve"> -</t>
  </si>
  <si>
    <t>overcurrent sensing</t>
  </si>
  <si>
    <t>n/a</t>
  </si>
  <si>
    <t>no independent bandgaps</t>
  </si>
  <si>
    <t>voltage faults due to faults in one bandgap</t>
  </si>
  <si>
    <t>second bandgap</t>
  </si>
  <si>
    <t>overvoltage check by independent bandgap</t>
  </si>
  <si>
    <t>DFTclock induces glitches</t>
  </si>
  <si>
    <t>latches</t>
  </si>
  <si>
    <t>frequency change of clock</t>
  </si>
  <si>
    <t>e.g. ADC with different characteristics</t>
  </si>
  <si>
    <t>clock check</t>
  </si>
  <si>
    <t>Hamming code secured DFT latches, independent bandgap for PTAT</t>
  </si>
  <si>
    <t>independent bandgap in usage</t>
  </si>
  <si>
    <t>bad ADC results by additional voltages</t>
  </si>
  <si>
    <t>reference values converted to digital and compared against limits.</t>
  </si>
  <si>
    <t>e.g. junction temperature messaged to MCU, compared beween limits</t>
  </si>
  <si>
    <t>ADC with different characteristic</t>
  </si>
  <si>
    <t>shadow registers written by DFT</t>
  </si>
  <si>
    <t>CRC check on shadow register</t>
  </si>
  <si>
    <t>NVMCRC</t>
  </si>
  <si>
    <t>N/a</t>
  </si>
  <si>
    <t>shared logic</t>
  </si>
  <si>
    <t>logic flaw affects all GPIO</t>
  </si>
  <si>
    <t>redundant check by SPI</t>
  </si>
  <si>
    <t>SPI telltale</t>
  </si>
  <si>
    <t>all GPIO on same clock</t>
  </si>
  <si>
    <t>clock problems affect all GPIOs</t>
  </si>
  <si>
    <t>shadow registers corrupted</t>
  </si>
  <si>
    <t>bad configuration</t>
  </si>
  <si>
    <t>EDC on shadow registers</t>
  </si>
  <si>
    <t>EDC</t>
  </si>
  <si>
    <t>logic works inhibited</t>
  </si>
  <si>
    <t>DFT hamming coded</t>
  </si>
  <si>
    <t>registers corrupted</t>
  </si>
  <si>
    <t>registers corrupted show bad content</t>
  </si>
  <si>
    <t>safety relevant free FF and registers under EDCconrol</t>
  </si>
  <si>
    <t>EDC for registers</t>
  </si>
  <si>
    <t>wrong frequency</t>
  </si>
  <si>
    <t>glitches</t>
  </si>
  <si>
    <t>clock check, latches</t>
  </si>
  <si>
    <t>interface with communication problems</t>
  </si>
  <si>
    <t>Comminicatoion checks , CRC, parity</t>
  </si>
  <si>
    <t>CRC on SPI</t>
  </si>
  <si>
    <t>frequency change</t>
  </si>
  <si>
    <t>SPI has clock of master</t>
  </si>
  <si>
    <t>different voltages by wrong clock</t>
  </si>
  <si>
    <t>clock check, voltage check</t>
  </si>
  <si>
    <t>SM14 CP monitoring</t>
  </si>
  <si>
    <t xml:space="preserve">DFT interfering with voltage boost </t>
  </si>
  <si>
    <t>voltage check SM14</t>
  </si>
  <si>
    <t>resulting voltage checked</t>
  </si>
  <si>
    <t xml:space="preserve">no effect, </t>
  </si>
  <si>
    <t>boost interference</t>
  </si>
  <si>
    <t>resulting voltage checked, clock check</t>
  </si>
  <si>
    <t>switching channels depending on DFT checks</t>
  </si>
  <si>
    <t>DFA</t>
  </si>
  <si>
    <t xml:space="preserve">Final </t>
  </si>
  <si>
    <t>Consult</t>
  </si>
  <si>
    <t>Produces reference for mutliple IC blocks and secondary reference for ADC measurement.</t>
  </si>
  <si>
    <t>Provides reference currents for multiple IC blocks.</t>
  </si>
  <si>
    <t>Produces supply to IC logic.</t>
  </si>
  <si>
    <t>Produce 16MHz frequency for logic.</t>
  </si>
  <si>
    <t>Generate voltage proportional to die temperature.</t>
  </si>
  <si>
    <t>Convert analog signals to a digital signal coded on 8 bits.</t>
  </si>
  <si>
    <t>Produce supply for switch banks.</t>
  </si>
  <si>
    <t>IC features a secondary bandgap (typ. 1.2V) that's digitized using the primary bandgap's 2V reference. Results are stored in BGR register.</t>
  </si>
  <si>
    <t>SM20</t>
  </si>
  <si>
    <t>Update due to review</t>
  </si>
  <si>
    <t>Fazil Civan</t>
  </si>
  <si>
    <t>Analog Design</t>
  </si>
  <si>
    <t>D2.6.1</t>
  </si>
  <si>
    <t>check against set limits</t>
  </si>
  <si>
    <t>Update due to MOBIS findings</t>
  </si>
  <si>
    <t>Update</t>
  </si>
  <si>
    <t>Vega resets internal logic and sets all switches to open.
MCU re-inits switches after undervoltage</t>
  </si>
  <si>
    <t>check status registers for fails</t>
  </si>
  <si>
    <t>Vega sets the switch between CPN and VDD to open.
MCU re-inits switches after undervoltage</t>
  </si>
  <si>
    <t>MCU resets IC</t>
  </si>
  <si>
    <t>Vega sets the corresponding switch open.
MCU re-inits switches</t>
  </si>
  <si>
    <t>Vega enters DIA2 state mode.
MCU resets IC</t>
  </si>
  <si>
    <t>MCU wait for normal voltage</t>
  </si>
  <si>
    <t>Vega turn off or turn on all switches according to FS pin status.
MCU re-inits switches</t>
  </si>
  <si>
    <t>When TSDEN&lt;1:0&gt; is set to 0x00, there is no action is taken for the switches when TLIMIT is reached. When it is set to 0x03, switches are set to open when TLIMIT is reached.n and MCU resets IC.</t>
  </si>
  <si>
    <t>area / pad</t>
  </si>
  <si>
    <t>Y</t>
  </si>
  <si>
    <t>check registers for fails</t>
  </si>
  <si>
    <t>O</t>
  </si>
  <si>
    <t>A health check of the UART watchdog is performed upon power up.</t>
  </si>
  <si>
    <t>SR#81</t>
  </si>
  <si>
    <t>SR#83</t>
  </si>
  <si>
    <t>SR#20</t>
  </si>
  <si>
    <t>SR#16</t>
  </si>
  <si>
    <t>SR#53</t>
  </si>
  <si>
    <t>SR#33</t>
  </si>
  <si>
    <t>SR#109</t>
  </si>
  <si>
    <t>SR#74</t>
  </si>
  <si>
    <t>SR#99</t>
  </si>
  <si>
    <t>SR#28, 29</t>
  </si>
  <si>
    <t>SR#123</t>
  </si>
  <si>
    <t>SR#92</t>
  </si>
  <si>
    <t>SR#84,85</t>
  </si>
  <si>
    <t>Review &amp; update</t>
  </si>
  <si>
    <t>SM21</t>
  </si>
  <si>
    <t>The bit is set when SYNC pulse high duration is within ±6.25% of PWM register configuration, and reset if it is out of range</t>
  </si>
  <si>
    <t>violation only indirectly when  temperature is too high</t>
  </si>
  <si>
    <t>Update to approval</t>
  </si>
  <si>
    <t>approved after review</t>
  </si>
  <si>
    <t>Ismail Kök</t>
  </si>
  <si>
    <t>Safety Manager</t>
  </si>
  <si>
    <t>A</t>
  </si>
  <si>
    <t>A.1</t>
  </si>
  <si>
    <t>Update on Die_PKG Base and Core Block FIT rate tabs</t>
  </si>
  <si>
    <t>PIN (Pin open)</t>
  </si>
  <si>
    <t>Pad (protect diode short to VCC&amp;GND, near pin short)</t>
  </si>
  <si>
    <r>
      <t xml:space="preserve">Safety Goal </t>
    </r>
    <r>
      <rPr>
        <sz val="11"/>
        <color theme="1"/>
        <rFont val="Aptos"/>
        <family val="2"/>
      </rPr>
      <t>이 명확한 블록 기반 분석</t>
    </r>
  </si>
  <si>
    <r>
      <t>검출율(SPF)</t>
    </r>
    <r>
      <rPr>
        <sz val="11"/>
        <color indexed="8"/>
        <rFont val="맑은 고딕"/>
        <family val="3"/>
        <charset val="129"/>
      </rPr>
      <t/>
    </r>
  </si>
  <si>
    <r>
      <t>잔존 고장의 고장율(FIT)</t>
    </r>
    <r>
      <rPr>
        <sz val="11"/>
        <color indexed="8"/>
        <rFont val="맑은 고딕"/>
        <family val="3"/>
        <charset val="129"/>
      </rPr>
      <t/>
    </r>
  </si>
  <si>
    <r>
      <t xml:space="preserve">검출율
</t>
    </r>
    <r>
      <rPr>
        <sz val="11"/>
        <rFont val="맑은 고딕"/>
        <family val="3"/>
        <charset val="129"/>
      </rPr>
      <t/>
    </r>
  </si>
  <si>
    <r>
      <t>검출율(SPF)</t>
    </r>
    <r>
      <rPr>
        <sz val="10"/>
        <rFont val="맑은 고딕"/>
        <family val="3"/>
        <charset val="129"/>
      </rPr>
      <t/>
    </r>
  </si>
  <si>
    <r>
      <t>잔존 고장의 고장율(FIT)</t>
    </r>
    <r>
      <rPr>
        <sz val="10"/>
        <rFont val="맑은 고딕"/>
        <family val="3"/>
        <charset val="129"/>
      </rPr>
      <t/>
    </r>
  </si>
  <si>
    <r>
      <t>검출율</t>
    </r>
    <r>
      <rPr>
        <sz val="10"/>
        <rFont val="맑은 고딕"/>
        <family val="3"/>
        <charset val="129"/>
      </rPr>
      <t/>
    </r>
  </si>
  <si>
    <r>
      <t>검출율(SPF)</t>
    </r>
    <r>
      <rPr>
        <sz val="10"/>
        <color indexed="8"/>
        <rFont val="맑은 고딕"/>
        <family val="3"/>
        <charset val="129"/>
      </rPr>
      <t/>
    </r>
  </si>
  <si>
    <r>
      <t>잔존 고장의 고장율(FIT)</t>
    </r>
    <r>
      <rPr>
        <sz val="10"/>
        <color indexed="8"/>
        <rFont val="맑은 고딕"/>
        <family val="3"/>
        <charset val="129"/>
      </rPr>
      <t/>
    </r>
  </si>
  <si>
    <r>
      <t>검출율</t>
    </r>
    <r>
      <rPr>
        <sz val="10"/>
        <color indexed="8"/>
        <rFont val="맑은 고딕"/>
        <family val="3"/>
        <charset val="129"/>
      </rPr>
      <t/>
    </r>
  </si>
  <si>
    <t>FMEDAフォーマット案1</t>
  </si>
  <si>
    <t>Safety Goalが明確、ブロックベース分析</t>
  </si>
  <si>
    <t>λ [FIT]</t>
  </si>
  <si>
    <r>
      <t>total working time ratio of the integrated circuit. With:τ</t>
    </r>
    <r>
      <rPr>
        <sz val="11"/>
        <color theme="1"/>
        <rFont val="Aptos"/>
        <family val="2"/>
      </rPr>
      <t>on=</t>
    </r>
    <r>
      <rPr>
        <sz val="11"/>
        <rFont val="Aptos"/>
        <family val="2"/>
      </rPr>
      <t>Στi</t>
    </r>
  </si>
  <si>
    <t>τoff</t>
  </si>
  <si>
    <r>
      <t>time ratio for the integrated circuit being in storage (or dormant). With τ</t>
    </r>
    <r>
      <rPr>
        <sz val="11"/>
        <color theme="1"/>
        <rFont val="Aptos"/>
        <family val="2"/>
      </rPr>
      <t>on +</t>
    </r>
    <r>
      <rPr>
        <sz val="11"/>
        <rFont val="Aptos"/>
        <family val="2"/>
      </rPr>
      <t>τ</t>
    </r>
    <r>
      <rPr>
        <sz val="11"/>
        <color theme="1"/>
        <rFont val="Aptos"/>
        <family val="2"/>
      </rPr>
      <t>off =1</t>
    </r>
  </si>
  <si>
    <r>
      <t>Tau (</t>
    </r>
    <r>
      <rPr>
        <sz val="14"/>
        <color rgb="FF000000"/>
        <rFont val="Aptos"/>
        <family val="2"/>
      </rPr>
      <t>τ</t>
    </r>
    <r>
      <rPr>
        <b/>
        <vertAlign val="subscript"/>
        <sz val="12"/>
        <color rgb="FF000000"/>
        <rFont val="Aptos"/>
        <family val="2"/>
      </rPr>
      <t>i</t>
    </r>
    <r>
      <rPr>
        <b/>
        <sz val="10"/>
        <color rgb="FF000000"/>
        <rFont val="Aptos"/>
        <family val="2"/>
      </rPr>
      <t>)</t>
    </r>
  </si>
  <si>
    <r>
      <t>π</t>
    </r>
    <r>
      <rPr>
        <vertAlign val="subscript"/>
        <sz val="12"/>
        <rFont val="Aptos"/>
        <family val="2"/>
      </rPr>
      <t>t 1</t>
    </r>
  </si>
  <si>
    <r>
      <t>π</t>
    </r>
    <r>
      <rPr>
        <vertAlign val="subscript"/>
        <sz val="12"/>
        <rFont val="Aptos"/>
        <family val="2"/>
      </rPr>
      <t xml:space="preserve">t </t>
    </r>
    <r>
      <rPr>
        <sz val="12"/>
        <rFont val="Aptos"/>
        <family val="2"/>
      </rPr>
      <t>* τi</t>
    </r>
  </si>
  <si>
    <r>
      <t>π</t>
    </r>
    <r>
      <rPr>
        <vertAlign val="subscript"/>
        <sz val="12"/>
        <rFont val="Aptos"/>
        <family val="2"/>
      </rPr>
      <t>t 2</t>
    </r>
  </si>
  <si>
    <r>
      <t>π</t>
    </r>
    <r>
      <rPr>
        <vertAlign val="subscript"/>
        <sz val="12"/>
        <rFont val="Aptos"/>
        <family val="2"/>
      </rPr>
      <t>t 3</t>
    </r>
    <r>
      <rPr>
        <sz val="11"/>
        <color theme="1"/>
        <rFont val="Calibri"/>
        <family val="2"/>
        <charset val="129"/>
        <scheme val="minor"/>
      </rPr>
      <t/>
    </r>
  </si>
  <si>
    <r>
      <t>π</t>
    </r>
    <r>
      <rPr>
        <vertAlign val="subscript"/>
        <sz val="12"/>
        <rFont val="Aptos"/>
        <family val="2"/>
      </rPr>
      <t>t 4</t>
    </r>
    <r>
      <rPr>
        <sz val="11"/>
        <color theme="1"/>
        <rFont val="Calibri"/>
        <family val="2"/>
        <charset val="129"/>
        <scheme val="minor"/>
      </rPr>
      <t/>
    </r>
  </si>
  <si>
    <r>
      <t>π</t>
    </r>
    <r>
      <rPr>
        <vertAlign val="subscript"/>
        <sz val="12"/>
        <rFont val="Aptos"/>
        <family val="2"/>
      </rPr>
      <t>t 5</t>
    </r>
    <r>
      <rPr>
        <sz val="11"/>
        <color theme="1"/>
        <rFont val="Calibri"/>
        <family val="2"/>
        <charset val="129"/>
        <scheme val="minor"/>
      </rPr>
      <t/>
    </r>
  </si>
  <si>
    <r>
      <t>π</t>
    </r>
    <r>
      <rPr>
        <vertAlign val="subscript"/>
        <sz val="12"/>
        <rFont val="Aptos"/>
        <family val="2"/>
      </rPr>
      <t>t 6</t>
    </r>
    <r>
      <rPr>
        <sz val="11"/>
        <color theme="1"/>
        <rFont val="Calibri"/>
        <family val="2"/>
        <charset val="129"/>
        <scheme val="minor"/>
      </rPr>
      <t/>
    </r>
  </si>
  <si>
    <r>
      <t>π</t>
    </r>
    <r>
      <rPr>
        <vertAlign val="subscript"/>
        <sz val="12"/>
        <rFont val="Aptos"/>
        <family val="2"/>
      </rPr>
      <t>t 7</t>
    </r>
    <r>
      <rPr>
        <sz val="11"/>
        <color theme="1"/>
        <rFont val="Calibri"/>
        <family val="2"/>
        <charset val="129"/>
        <scheme val="minor"/>
      </rPr>
      <t/>
    </r>
  </si>
  <si>
    <r>
      <t>π</t>
    </r>
    <r>
      <rPr>
        <vertAlign val="subscript"/>
        <sz val="12"/>
        <rFont val="Aptos"/>
        <family val="2"/>
      </rPr>
      <t>t 8</t>
    </r>
    <r>
      <rPr>
        <sz val="11"/>
        <color theme="1"/>
        <rFont val="Calibri"/>
        <family val="2"/>
        <charset val="129"/>
        <scheme val="minor"/>
      </rPr>
      <t/>
    </r>
  </si>
  <si>
    <r>
      <t>π</t>
    </r>
    <r>
      <rPr>
        <vertAlign val="subscript"/>
        <sz val="12"/>
        <rFont val="Aptos"/>
        <family val="2"/>
      </rPr>
      <t>t 9</t>
    </r>
    <r>
      <rPr>
        <sz val="11"/>
        <color theme="1"/>
        <rFont val="Calibri"/>
        <family val="2"/>
        <charset val="129"/>
        <scheme val="minor"/>
      </rPr>
      <t/>
    </r>
  </si>
  <si>
    <r>
      <t>π</t>
    </r>
    <r>
      <rPr>
        <vertAlign val="subscript"/>
        <sz val="12"/>
        <rFont val="Aptos"/>
        <family val="2"/>
      </rPr>
      <t>t 10</t>
    </r>
    <r>
      <rPr>
        <sz val="11"/>
        <color theme="1"/>
        <rFont val="Calibri"/>
        <family val="2"/>
        <charset val="129"/>
        <scheme val="minor"/>
      </rPr>
      <t/>
    </r>
  </si>
  <si>
    <r>
      <t>π</t>
    </r>
    <r>
      <rPr>
        <vertAlign val="subscript"/>
        <sz val="12"/>
        <rFont val="Aptos"/>
        <family val="2"/>
      </rPr>
      <t>t 11</t>
    </r>
    <r>
      <rPr>
        <sz val="11"/>
        <color theme="1"/>
        <rFont val="Calibri"/>
        <family val="2"/>
        <charset val="129"/>
        <scheme val="minor"/>
      </rPr>
      <t/>
    </r>
  </si>
  <si>
    <r>
      <t>π</t>
    </r>
    <r>
      <rPr>
        <vertAlign val="subscript"/>
        <sz val="12"/>
        <rFont val="Aptos"/>
        <family val="2"/>
      </rPr>
      <t>t 12</t>
    </r>
    <r>
      <rPr>
        <sz val="11"/>
        <color theme="1"/>
        <rFont val="Calibri"/>
        <family val="2"/>
        <charset val="129"/>
        <scheme val="minor"/>
      </rPr>
      <t/>
    </r>
  </si>
  <si>
    <r>
      <t>π</t>
    </r>
    <r>
      <rPr>
        <vertAlign val="subscript"/>
        <sz val="12"/>
        <rFont val="Aptos"/>
        <family val="2"/>
      </rPr>
      <t>t 13</t>
    </r>
    <r>
      <rPr>
        <sz val="11"/>
        <color theme="1"/>
        <rFont val="Calibri"/>
        <family val="2"/>
        <charset val="129"/>
        <scheme val="minor"/>
      </rPr>
      <t/>
    </r>
  </si>
  <si>
    <r>
      <t>π</t>
    </r>
    <r>
      <rPr>
        <vertAlign val="subscript"/>
        <sz val="12"/>
        <rFont val="Aptos"/>
        <family val="2"/>
      </rPr>
      <t>t 14</t>
    </r>
    <r>
      <rPr>
        <sz val="11"/>
        <color theme="1"/>
        <rFont val="Calibri"/>
        <family val="2"/>
        <charset val="129"/>
        <scheme val="minor"/>
      </rPr>
      <t/>
    </r>
  </si>
  <si>
    <r>
      <t>π</t>
    </r>
    <r>
      <rPr>
        <vertAlign val="subscript"/>
        <sz val="12"/>
        <rFont val="Aptos"/>
        <family val="2"/>
      </rPr>
      <t>t 15</t>
    </r>
    <r>
      <rPr>
        <sz val="11"/>
        <color theme="1"/>
        <rFont val="Calibri"/>
        <family val="2"/>
        <charset val="129"/>
        <scheme val="minor"/>
      </rPr>
      <t/>
    </r>
  </si>
  <si>
    <r>
      <t>π</t>
    </r>
    <r>
      <rPr>
        <vertAlign val="subscript"/>
        <sz val="12"/>
        <rFont val="Aptos"/>
        <family val="2"/>
      </rPr>
      <t>t 16</t>
    </r>
    <r>
      <rPr>
        <sz val="11"/>
        <color theme="1"/>
        <rFont val="Calibri"/>
        <family val="2"/>
        <charset val="129"/>
        <scheme val="minor"/>
      </rPr>
      <t/>
    </r>
  </si>
  <si>
    <r>
      <t>π</t>
    </r>
    <r>
      <rPr>
        <vertAlign val="subscript"/>
        <sz val="12"/>
        <rFont val="Aptos"/>
        <family val="2"/>
      </rPr>
      <t>t 17</t>
    </r>
    <r>
      <rPr>
        <sz val="11"/>
        <color theme="1"/>
        <rFont val="Calibri"/>
        <family val="2"/>
        <charset val="129"/>
        <scheme val="minor"/>
      </rPr>
      <t/>
    </r>
  </si>
  <si>
    <r>
      <t>α</t>
    </r>
    <r>
      <rPr>
        <vertAlign val="subscript"/>
        <sz val="16"/>
        <rFont val="Aptos"/>
        <family val="2"/>
      </rPr>
      <t>S</t>
    </r>
  </si>
  <si>
    <r>
      <t>α</t>
    </r>
    <r>
      <rPr>
        <vertAlign val="subscript"/>
        <sz val="16"/>
        <rFont val="Aptos"/>
        <family val="2"/>
      </rPr>
      <t>C</t>
    </r>
  </si>
  <si>
    <r>
      <t>π</t>
    </r>
    <r>
      <rPr>
        <vertAlign val="subscript"/>
        <sz val="16"/>
        <rFont val="Aptos"/>
        <family val="2"/>
      </rPr>
      <t xml:space="preserve"> α</t>
    </r>
  </si>
  <si>
    <r>
      <t>2.75X10</t>
    </r>
    <r>
      <rPr>
        <vertAlign val="superscript"/>
        <sz val="10"/>
        <rFont val="Aptos"/>
        <family val="2"/>
      </rPr>
      <t>-3</t>
    </r>
    <r>
      <rPr>
        <sz val="10"/>
        <rFont val="Aptos"/>
        <family val="2"/>
      </rPr>
      <t>X</t>
    </r>
    <r>
      <rPr>
        <sz val="12"/>
        <rFont val="Aptos"/>
        <family val="2"/>
      </rPr>
      <t>π</t>
    </r>
    <r>
      <rPr>
        <vertAlign val="subscript"/>
        <sz val="12"/>
        <rFont val="Aptos"/>
        <family val="2"/>
      </rPr>
      <t>α</t>
    </r>
  </si>
  <si>
    <r>
      <t>△T</t>
    </r>
    <r>
      <rPr>
        <vertAlign val="subscript"/>
        <sz val="11"/>
        <color theme="1"/>
        <rFont val="Aptos"/>
        <family val="2"/>
      </rPr>
      <t>1</t>
    </r>
  </si>
  <si>
    <r>
      <t>△T</t>
    </r>
    <r>
      <rPr>
        <vertAlign val="subscript"/>
        <sz val="11"/>
        <color theme="1"/>
        <rFont val="Aptos"/>
        <family val="2"/>
      </rPr>
      <t>2</t>
    </r>
  </si>
  <si>
    <r>
      <t>△T</t>
    </r>
    <r>
      <rPr>
        <vertAlign val="subscript"/>
        <sz val="11"/>
        <color theme="1"/>
        <rFont val="Aptos"/>
        <family val="2"/>
      </rPr>
      <t>3</t>
    </r>
  </si>
  <si>
    <r>
      <t>n</t>
    </r>
    <r>
      <rPr>
        <vertAlign val="subscript"/>
        <sz val="10"/>
        <rFont val="Aptos"/>
        <family val="2"/>
      </rPr>
      <t>1</t>
    </r>
    <r>
      <rPr>
        <sz val="10"/>
        <rFont val="Aptos"/>
        <family val="2"/>
      </rPr>
      <t xml:space="preserve"> </t>
    </r>
  </si>
  <si>
    <r>
      <t>n</t>
    </r>
    <r>
      <rPr>
        <vertAlign val="subscript"/>
        <sz val="10"/>
        <rFont val="Aptos"/>
        <family val="2"/>
      </rPr>
      <t>2</t>
    </r>
    <r>
      <rPr>
        <sz val="11"/>
        <color theme="1"/>
        <rFont val="Calibri"/>
        <family val="2"/>
        <charset val="129"/>
        <scheme val="minor"/>
      </rPr>
      <t/>
    </r>
  </si>
  <si>
    <r>
      <t>n</t>
    </r>
    <r>
      <rPr>
        <vertAlign val="subscript"/>
        <sz val="10"/>
        <rFont val="Aptos"/>
        <family val="2"/>
      </rPr>
      <t>3</t>
    </r>
    <r>
      <rPr>
        <sz val="11"/>
        <color theme="1"/>
        <rFont val="Calibri"/>
        <family val="2"/>
        <charset val="129"/>
        <scheme val="minor"/>
      </rPr>
      <t/>
    </r>
  </si>
  <si>
    <r>
      <t>(π n)</t>
    </r>
    <r>
      <rPr>
        <sz val="11"/>
        <color theme="1"/>
        <rFont val="Aptos"/>
        <family val="2"/>
      </rPr>
      <t>1</t>
    </r>
  </si>
  <si>
    <t>(π n)2</t>
  </si>
  <si>
    <t>(π n)3</t>
  </si>
  <si>
    <r>
      <t>(π n)</t>
    </r>
    <r>
      <rPr>
        <sz val="11"/>
        <color theme="1"/>
        <rFont val="Aptos"/>
        <family val="2"/>
      </rPr>
      <t>*△</t>
    </r>
    <r>
      <rPr>
        <sz val="9.35"/>
        <color theme="1"/>
        <rFont val="Aptos"/>
        <family val="2"/>
      </rPr>
      <t>Ti</t>
    </r>
    <r>
      <rPr>
        <vertAlign val="superscript"/>
        <sz val="9.35"/>
        <color theme="1"/>
        <rFont val="Aptos"/>
        <family val="2"/>
      </rPr>
      <t>0.68</t>
    </r>
  </si>
  <si>
    <r>
      <t>∑(π n)</t>
    </r>
    <r>
      <rPr>
        <sz val="12"/>
        <color theme="1"/>
        <rFont val="Aptos"/>
        <family val="2"/>
      </rPr>
      <t>*△Ti</t>
    </r>
    <r>
      <rPr>
        <vertAlign val="superscript"/>
        <sz val="12"/>
        <color theme="1"/>
        <rFont val="Aptos"/>
        <family val="2"/>
      </rPr>
      <t>0.68</t>
    </r>
  </si>
  <si>
    <t xml:space="preserve">Comparator: VDD Under-voltage </t>
  </si>
  <si>
    <t xml:space="preserve">Comparator: VDD Over-voltage </t>
  </si>
  <si>
    <t>Driver Health Check</t>
  </si>
  <si>
    <t>UART Communication Watchdog</t>
  </si>
  <si>
    <t>Internal UART Watchdog Check</t>
  </si>
  <si>
    <t>Internal Clock Watchdog Check</t>
  </si>
  <si>
    <t>PWM Monitoring</t>
  </si>
  <si>
    <t>Comparator: FS Pin State</t>
  </si>
  <si>
    <t>ECC</t>
  </si>
  <si>
    <t>SYNC Monitor</t>
  </si>
  <si>
    <t>Comments</t>
  </si>
  <si>
    <t>Area [mm^2]</t>
  </si>
  <si>
    <t>*The FIT below is reflected in FMEDA block FIT</t>
  </si>
  <si>
    <t>REF, LDO</t>
  </si>
  <si>
    <t>SW_BANK, LOGIC</t>
  </si>
  <si>
    <t>CS, ADC</t>
  </si>
  <si>
    <t>REF, ADC</t>
  </si>
  <si>
    <t>A.2</t>
  </si>
  <si>
    <t>Update on SM_List, FMEDA to PIN (Near Short)</t>
  </si>
  <si>
    <t>A.3</t>
  </si>
  <si>
    <t>Update on number of transistors</t>
  </si>
  <si>
    <t>Total block areas</t>
  </si>
  <si>
    <t xml:space="preserve">α </t>
  </si>
  <si>
    <t>- Digital part and Analog (&lt;6V)</t>
  </si>
  <si>
    <t>&lt;6V</t>
  </si>
  <si>
    <t>&gt;=6V</t>
  </si>
  <si>
    <t>Comparator: Resistive FET Detection</t>
  </si>
  <si>
    <t>Comparator: LED Open Detection</t>
  </si>
  <si>
    <t>Comparator: LED Short Detection</t>
  </si>
  <si>
    <t>ADC: LED Current Monitoring</t>
  </si>
  <si>
    <t>ADC: SBG ADC Reading</t>
  </si>
  <si>
    <t>Comparator: Internal Supply Monitoring</t>
  </si>
  <si>
    <t>ADC: Thermal Limit</t>
  </si>
  <si>
    <t>Comparator: LDO Overvoltage</t>
  </si>
  <si>
    <t>D.2.1.2, tight comparator</t>
  </si>
  <si>
    <t>D.2.4.4, monitoring outputs derated due to ADC sampling</t>
  </si>
  <si>
    <t>D.2.1.2, comparison but derated due to ADC sampling</t>
  </si>
  <si>
    <t>D2.7.3</t>
  </si>
  <si>
    <t>D2.3.2, self-test supported by hardware</t>
  </si>
  <si>
    <t>D2.5.8</t>
  </si>
  <si>
    <t>D2.7.2</t>
  </si>
  <si>
    <t>A.4</t>
  </si>
  <si>
    <t>SM coverage updates</t>
  </si>
  <si>
    <t>D2.5.6, D2.5.7, D2.5.8</t>
  </si>
  <si>
    <t>Reference: ISO26262:2018 – Part 11, Chapter 4.6.2.1.1.3</t>
  </si>
  <si>
    <t>FIT</t>
  </si>
  <si>
    <t>A.5</t>
  </si>
  <si>
    <t>ID803 - Vega</t>
  </si>
  <si>
    <t>N/A</t>
  </si>
  <si>
    <t>=Die FIT</t>
  </si>
  <si>
    <t>=0.1*Package FIT</t>
  </si>
  <si>
    <t>=0.9*Package FIT</t>
  </si>
  <si>
    <t>Chip Area</t>
    <rPh sb="3" eb="5">
      <t>メンセキ</t>
    </rPh>
    <phoneticPr fontId="2"/>
  </si>
  <si>
    <t>Block Failure rate [FIT]</t>
  </si>
  <si>
    <t>SM Total</t>
  </si>
  <si>
    <t>-</t>
  </si>
  <si>
    <t>Current Sense Reading Error</t>
  </si>
  <si>
    <t>Unintended LED turn OFF</t>
  </si>
  <si>
    <t>Device power-off</t>
  </si>
  <si>
    <t>Unintended LED turn ON</t>
  </si>
  <si>
    <t>memo
X - Violation of SG
O - No violation</t>
  </si>
  <si>
    <t>FMEDA</t>
  </si>
  <si>
    <t>Switches always OFF in FS mode</t>
  </si>
  <si>
    <t>Switches always OFF in FS mode. Cannot use ADC to external reading.</t>
  </si>
  <si>
    <t>No effect. Short to no connection pin.</t>
  </si>
  <si>
    <t>Cannot use ADC to external reading. ADDR0 has pull-up.</t>
  </si>
  <si>
    <t>UART Communication Error. SYNC has pull-down. Operate in FS.</t>
  </si>
  <si>
    <t>SM05 SM06</t>
  </si>
  <si>
    <t>No effect, more than one GND pins</t>
  </si>
  <si>
    <t>No effect, no connection pin</t>
  </si>
  <si>
    <t>Cannot use ADC1 to external reading</t>
  </si>
  <si>
    <t>Cannot use ADC2 to external reading</t>
  </si>
  <si>
    <t>SM09 SM10 SM13</t>
  </si>
  <si>
    <t>NOTE 1: Since SM10 is a self-test for SM9, multi-point coverage is 100%.</t>
  </si>
  <si>
    <t>NOTE 1</t>
  </si>
  <si>
    <t>NOTE 2: SM06 Driver health check can be used to MPF.</t>
  </si>
  <si>
    <t>NOTE 2</t>
  </si>
  <si>
    <t>UART Communication Error. Operate in FS.</t>
  </si>
  <si>
    <t>Switches always OFF in FS mode due to internal pull-down</t>
  </si>
  <si>
    <t>No operation. Charge-pump fails.</t>
  </si>
  <si>
    <t>SM22</t>
  </si>
  <si>
    <t>CP, SW_BANK</t>
  </si>
  <si>
    <t>Matrix SW POR</t>
  </si>
  <si>
    <t>If the floating supply in the switch module falls below a defined threshold, the switch is set to open. This mechanism is  triggered if the internal supply to the regulator or the VDD supply, or the charge pump fails. ID803 sets the corresponding  switch open and all the corresponding bits in the FLT_MATRIX_POR register are set to "1".</t>
  </si>
  <si>
    <t>D.2.1.2, D2.4.4</t>
  </si>
  <si>
    <t>SM01 SM15 SM16 SM22</t>
  </si>
  <si>
    <t>NOTE 3: SM22 activate safe-state due to VDD fault, 100% MPC.</t>
  </si>
  <si>
    <t>SM14 SM22</t>
  </si>
  <si>
    <t>NOTE 3: SM22 activate safe-state due to charge-pump fault, 100% MPC.</t>
  </si>
  <si>
    <t>NOTE 4</t>
  </si>
  <si>
    <t>NOTE 4: SM22 activate safe-state due to charge-pump fault, 100% MPC.</t>
  </si>
  <si>
    <t>NOTE 2: SM22 activate safe-state due to VDD fault, 100% MPC.</t>
  </si>
  <si>
    <t>NOTE 3</t>
  </si>
  <si>
    <t>Unintended LED turn ON. Charge-pump fails.</t>
  </si>
  <si>
    <t>No effect, same pin</t>
  </si>
  <si>
    <t>Switches always ON in FS mode</t>
  </si>
  <si>
    <t>Cannot communicate at 8MHz. Operate in FS.</t>
  </si>
  <si>
    <t>Cannot communicate at 16MHz. Operate in FS.</t>
  </si>
  <si>
    <t>Unintended LED ON. Charge-pump fail.</t>
  </si>
  <si>
    <t>NOTE 4: SM22 activate safe-state due to VDD fault, 100% MPC.</t>
  </si>
  <si>
    <t>Package Failure rate (FIT)</t>
  </si>
  <si>
    <t>Output is stuck (i.e. high or low)</t>
  </si>
  <si>
    <t>Output is floating (i.e. open circuit)</t>
  </si>
  <si>
    <t>Incorrect output voltage value (i.e. outside the expected 
range)</t>
  </si>
  <si>
    <t>Output voltage accuracy too low, including drift</t>
  </si>
  <si>
    <t>Output voltage affected by spikes</t>
  </si>
  <si>
    <t>Output voltage oscillation within the expected range</t>
  </si>
  <si>
    <t>Incorrect start-up time (i.e. outside the expected range)</t>
  </si>
  <si>
    <t>• Vega
    - Device Damage</t>
  </si>
  <si>
    <t>• OSC
    - Jitter too high in the output signal</t>
  </si>
  <si>
    <t>• ADC
    - TEMP output Static Error (offset error, gain error, integral nonlinearity, &amp; differential nonlinearity)</t>
  </si>
  <si>
    <t>SM01 SM15 make the IC enter a safe-sate. Latent coverage: 100%.</t>
  </si>
  <si>
    <t>• BIAS
    - Output reference voltage is stuck 
    - Output reference current is stuck 
    - Output bias current is stuck 
    - Quiescent current exceeding the maximum value
• REF
    - Quiescent current exceeding the maximum value
• ADC
    - REF output is stuck 
• TEMP
    - Output is stuck 
• LDO
    - Output is stuck 
• OSC
    - Oscillation does not start</t>
  </si>
  <si>
    <t>• BIAS
    - Output reference voltage is floating
    - Output reference current is higher than the expected range
    - Output reference current is lower than the expected range
    - Output bias current is higher than the expected range
    - Output bias current is lower than the expected range
• ADC
    - REF output is floating (i.e. open circuit)
• LDO
    - Out of spec
• OSC
    - Out of spec</t>
  </si>
  <si>
    <t>• BIAS
    - Output reference voltage is higher than the expected range
    - Output reference current is higher than the expected range
    - Output bias current is higher than the expected range
• TEMP
    - Incorrect gain on the output voltage (outside the expected range)
    - Incorrect offset on the output voltage (outside the expected range)
• ADC
    - REF output higher/lower than expected
• LDO
    - Out of spec
• OSC
    - Out of spec</t>
  </si>
  <si>
    <t>One or more outputs are stuck (i.e. high or low)</t>
  </si>
  <si>
    <t>One or more outputs are floating (i.e. open circuit)</t>
  </si>
  <si>
    <t>Incorrect reference current (i.e. outside the expected range)</t>
  </si>
  <si>
    <t>Reference current accuracy too low , including drift</t>
  </si>
  <si>
    <t>Reference current oscillation within the expected range</t>
  </si>
  <si>
    <t>Reference current affected by spikes</t>
  </si>
  <si>
    <t>One or more branch currents affected by spikes</t>
  </si>
  <si>
    <t>One or more branch currents outside the expected range 
while reference current is correct</t>
  </si>
  <si>
    <t>One or more branch currents accuracy too low , including 
drift</t>
  </si>
  <si>
    <t>One or more branch currents oscillation within the expected range</t>
  </si>
  <si>
    <t>SM15 make the IC enter a safe-sate. Latent coverage: 100%.</t>
  </si>
  <si>
    <t>• ADC
    - ADC measurement is incorrect.
• TEMP
    - Incorrect temperature measurement.
• LDO
    - Out of spec.
• OSC
    - Frequency out of spec.
• SW_BANKx
    - Out of spec.
• CP
    - Out of spec.
• CNSN
    - Incorrect reading.</t>
  </si>
  <si>
    <t>No effect</t>
  </si>
  <si>
    <t>Output voltage higher than a high threshold of the prescribed range (i.e. over voltage — OV)</t>
  </si>
  <si>
    <t>Incorrect start-up time</t>
  </si>
  <si>
    <t>Output voltage oscillation within the prescribed range</t>
  </si>
  <si>
    <t>Quiescent current exceeding the maximum value</t>
  </si>
  <si>
    <t>SM01 SM15 SM16 SM17</t>
  </si>
  <si>
    <t>SM01 SM11 SM15 SM16</t>
  </si>
  <si>
    <t>SM11 SM15 SM16</t>
  </si>
  <si>
    <t>SM11 SM20</t>
  </si>
  <si>
    <t>SM11 SM15</t>
  </si>
  <si>
    <t>• OSC
    - Out of spec.</t>
  </si>
  <si>
    <t>• OSC
    - Out of spec.
• Vega
    - Reset reaction. (POR)</t>
  </si>
  <si>
    <t>SM11 SM15 SM20</t>
  </si>
  <si>
    <t>No effect (Filter in place)</t>
  </si>
  <si>
    <t>Jitter too high in the output signal</t>
  </si>
  <si>
    <t>Drift of the output frequency</t>
  </si>
  <si>
    <t>Incorrect duty cycle of the output signal</t>
  </si>
  <si>
    <t>Incorrect frequency of the output signal</t>
  </si>
  <si>
    <t>Incorrect output signal swing (i.e. outside the expected range)</t>
  </si>
  <si>
    <t>• LOGIC
    - Cannot operate.
    - Communication error.</t>
  </si>
  <si>
    <t>SM09 SM10 SM11</t>
  </si>
  <si>
    <t>SM09 make the IC enter a safe-sate. Latent coverage: 100%.</t>
  </si>
  <si>
    <t>• ADC
    - Incorrect TEMP reading</t>
  </si>
  <si>
    <t>• ADC
    - TEMP output is stuck low
• SW_BANK_x
    - SW is stuck in off state (DIETEMP)</t>
  </si>
  <si>
    <t>SM23</t>
  </si>
  <si>
    <t>ADC: Thermal Monitoring</t>
  </si>
  <si>
    <t>Die temperature measured and stored in DIETEMP register.</t>
  </si>
  <si>
    <t>SM17 SM23</t>
  </si>
  <si>
    <t>• ADC
    - CSNS output is incorrect.</t>
  </si>
  <si>
    <t>Accuracy error (i.e. Error exceeds the LSBs)</t>
  </si>
  <si>
    <t xml:space="preserve">No monotonic conversion characteristic </t>
  </si>
  <si>
    <t>Full-scale error not including stuck or floating conditions on the outputs, low resolution</t>
  </si>
  <si>
    <t>Offset error not including stuck or floating conditions on the outputs, low resolution</t>
  </si>
  <si>
    <t>Linearity error with monotonic conversion curve not including stuck or floating conditions on the outputs, low resolution</t>
  </si>
  <si>
    <t>Incorrect settling time (i.e. outside the expected range)</t>
  </si>
  <si>
    <t>• SW_BANK_x
    - SW is stuck in off state (DIETEMP)
• ADC
    - Incorrect BGR measurement
    - Incorrect DIETEMP measurement
    - Incorrect CS measurement</t>
  </si>
  <si>
    <t>• ADC
    - Incorrect BGR measurement
    - Incorrect DIETEMP measurement
    - Incorrect CS measurement</t>
  </si>
  <si>
    <t>Output voltage lower than a low threshold of the prescribed range (i.e. under voltage — UV)</t>
  </si>
  <si>
    <t>Driver is stuck in ON or OFF state</t>
  </si>
  <si>
    <t>Driver is floating (i.e. open circuit, tri-stated)</t>
  </si>
  <si>
    <t>Driver resistance too high when turned on</t>
  </si>
  <si>
    <t>Driver resistance too low when turned off</t>
  </si>
  <si>
    <t>Driver turn-on time too fast or too slow</t>
  </si>
  <si>
    <t>Driver turn-off time too fast or too slow</t>
  </si>
  <si>
    <t>SM04 SM05 SM06 SM08</t>
  </si>
  <si>
    <t>Unintended LED ON/OFF</t>
  </si>
  <si>
    <t>Unintended LED ON</t>
  </si>
  <si>
    <t>SM04 SM06 SM08</t>
  </si>
  <si>
    <t>Fail to detect</t>
  </si>
  <si>
    <t>FM_TTL_1</t>
  </si>
  <si>
    <t>FM_TTL_8</t>
  </si>
  <si>
    <t>FM_TTL_9</t>
  </si>
  <si>
    <t>FM_TTL_10</t>
  </si>
  <si>
    <t>FM_TTL_12</t>
  </si>
  <si>
    <t>FM_TTL_14</t>
  </si>
  <si>
    <t>FM_TTL_15</t>
  </si>
  <si>
    <t>FM_TTL_16</t>
  </si>
  <si>
    <t>FM_TTL_21</t>
  </si>
  <si>
    <t>FM_TTL_24</t>
  </si>
  <si>
    <t>FM_TTL_25</t>
  </si>
  <si>
    <t>FM_TTL_26</t>
  </si>
  <si>
    <t>FM_TTL_27</t>
  </si>
  <si>
    <t>FM_TTL_30</t>
  </si>
  <si>
    <t>FM_TTL_37</t>
  </si>
  <si>
    <t>FM_TTL_39</t>
  </si>
  <si>
    <t>FM_TTL_42</t>
  </si>
  <si>
    <t>FM_TTL_45</t>
  </si>
  <si>
    <t>FM_TTL_49</t>
  </si>
  <si>
    <t>FM_TTL_51</t>
  </si>
  <si>
    <t>FM_TTL_73</t>
  </si>
  <si>
    <t>FM_TTL_74</t>
  </si>
  <si>
    <t>FM_TTL_75</t>
  </si>
  <si>
    <t>FM_TTL_76</t>
  </si>
  <si>
    <t>FM_TTL_77</t>
  </si>
  <si>
    <t>FM_TTL_78</t>
  </si>
  <si>
    <t>FM_TTL_79</t>
  </si>
  <si>
    <t>FM_TTL_88</t>
  </si>
  <si>
    <t>FM_TTL_89</t>
  </si>
  <si>
    <t>FM_TTL_91</t>
  </si>
  <si>
    <t>FM_TTL_94</t>
  </si>
  <si>
    <t>FM_TTL_95</t>
  </si>
  <si>
    <t>FM_TTL_96</t>
  </si>
  <si>
    <t>FM_TTL_97</t>
  </si>
  <si>
    <t>FM_TTL_110</t>
  </si>
  <si>
    <t>Device damage</t>
  </si>
  <si>
    <t>Unintended LED OFF</t>
  </si>
  <si>
    <t>UART Communication Error</t>
  </si>
  <si>
    <t>X (Latent)</t>
  </si>
  <si>
    <t>Unintended LED ON/OFF in FS mode</t>
  </si>
  <si>
    <t>Unsynchronised PWM</t>
  </si>
  <si>
    <t>Cannot trim part properly</t>
  </si>
  <si>
    <t>고장Mode는 200개까지 대응. 200개이상의 경우에는 수식확인 할 것.</t>
  </si>
  <si>
    <t>No PWM monitoring functionality</t>
  </si>
  <si>
    <t>Failures on LOGIC operation</t>
  </si>
  <si>
    <t>Loss of reference control functionality</t>
  </si>
  <si>
    <t>Loss of thermal monitoring capability</t>
  </si>
  <si>
    <t>Incorrect output voltage value (i.e. outside the expected range)</t>
  </si>
  <si>
    <t>SM08 SM16 SM17 SM23</t>
  </si>
  <si>
    <t>Communication error</t>
  </si>
  <si>
    <t>TX: No message transferred as requested</t>
  </si>
  <si>
    <t>TX: Message transferred when not requested</t>
  </si>
  <si>
    <t>TX: Message transferred too early/late</t>
  </si>
  <si>
    <t>TX: Message transferred with incorrect value</t>
  </si>
  <si>
    <t>RX: No incoming message processed</t>
  </si>
  <si>
    <t>RX: Message transferred when not requested</t>
  </si>
  <si>
    <t>RX: Message transferred too early/late</t>
  </si>
  <si>
    <t>RX: Message transferred with incorrect value</t>
  </si>
  <si>
    <t>Incorrect output voltage value</t>
  </si>
  <si>
    <t>• SW_BANK_X
    - SW is stuck in on/off state
• OSC
    - Output stuck</t>
  </si>
  <si>
    <t>Unintended LED turn OFF, high current on pass devices</t>
  </si>
  <si>
    <t>SM04 SM24</t>
  </si>
  <si>
    <t>SM24</t>
  </si>
  <si>
    <t>SM09 SM13</t>
  </si>
  <si>
    <t>• SW_BANK_x
    - SWs are stuck in off state, LEDs always ON.</t>
  </si>
  <si>
    <t xml:space="preserve"> SM14 SM22</t>
  </si>
  <si>
    <t>Comparator: CP Voltage Monitoring</t>
  </si>
  <si>
    <t>Performance impact</t>
  </si>
  <si>
    <t>SM04 SM17</t>
  </si>
  <si>
    <t>ADC, SW_BANK</t>
  </si>
  <si>
    <t>ADC: LED Switch Voltage Detection</t>
  </si>
  <si>
    <t>LEDx voltage monitoring with ADC. Results written on VLEDON registers. A comparison with LEDONTH done digitally.</t>
  </si>
  <si>
    <t>FM_TTL_122</t>
  </si>
  <si>
    <t>Loss of LED voltage monitoring capability</t>
  </si>
  <si>
    <t>Error of omission (i.e. not triggered when it should be)</t>
  </si>
  <si>
    <t>Error of comission (i.e. triggered when it shouldn't be)</t>
  </si>
  <si>
    <t>Incorrect output</t>
  </si>
  <si>
    <t>• REF
    - Incorrect output value higher than the expected range
• LDO
    - Reference voltage higher than the expected range
• BIAS
    - Output reference voltage accuracy too low, including drift
• SW_BANK
    - Incorrect slew rate value
• OSC
    - Incorrect output frequency: higher than the expected range
• DIETEMP
    - Incorrect output voltage</t>
  </si>
  <si>
    <t>SM01 SM02 SM09 SM11 SM15 SM16 SM18 SM20 SM23</t>
  </si>
  <si>
    <t>SM01 SM09 SM15 make the IC enter a safe-sate. Latent coverage: 100%.</t>
  </si>
  <si>
    <t>All of the tabs undergone updates</t>
  </si>
  <si>
    <t>Output voltage affected by a fast oscillation outside the prescribed range but with average value within the prescribed range</t>
  </si>
  <si>
    <t>False detection</t>
  </si>
  <si>
    <t>FM_TTL_123</t>
  </si>
  <si>
    <t>FM_TTL_124</t>
  </si>
  <si>
    <t>FM_TTL_125</t>
  </si>
  <si>
    <t>FM_TTL_126</t>
  </si>
  <si>
    <t>FM_TTL_127</t>
  </si>
  <si>
    <t>FM_TTL_128</t>
  </si>
  <si>
    <t>FM_TTL_129</t>
  </si>
  <si>
    <t>FM_TTL_130</t>
  </si>
  <si>
    <t>FM_TTL_131</t>
  </si>
  <si>
    <t>FM_TTL_132</t>
  </si>
  <si>
    <t>FM_TTL_133</t>
  </si>
  <si>
    <t>FM_TTL_134</t>
  </si>
  <si>
    <t>FM_TTL_135</t>
  </si>
  <si>
    <t>FM_TTL_136</t>
  </si>
  <si>
    <t>FM_TTL_137</t>
  </si>
  <si>
    <t>FM_TTL_138</t>
  </si>
  <si>
    <t>FM_TTL_139</t>
  </si>
  <si>
    <t>FM_TTL_140</t>
  </si>
  <si>
    <t>FM_TTL_141</t>
  </si>
  <si>
    <t>FM_TTL_142</t>
  </si>
  <si>
    <t>FM_TTL_143</t>
  </si>
  <si>
    <t>FM_TTL_144</t>
  </si>
  <si>
    <t>SM03 SM06 SM24</t>
  </si>
  <si>
    <t>ECU (시스템)에의 영향</t>
  </si>
  <si>
    <t>Unintended LED turn ON/OFF</t>
  </si>
  <si>
    <t>SM10 SM11 SM12 SM18</t>
  </si>
  <si>
    <t>LEDs always OFF in FS mode</t>
  </si>
  <si>
    <t>Fail-safe mode active</t>
  </si>
  <si>
    <t>Unintentional LED ON/OFF
Fail-safe mode active
No communication</t>
  </si>
  <si>
    <t>Possible device damage</t>
  </si>
  <si>
    <t>Performance/Functionality degredation</t>
  </si>
  <si>
    <t>Possible Fail-safe mode activation</t>
  </si>
  <si>
    <t>Fail-safe mode active
No communication</t>
  </si>
  <si>
    <t>Unintentional LED ON</t>
  </si>
  <si>
    <t>Unintentional LED ON
Possible device damage</t>
  </si>
  <si>
    <t>B1</t>
  </si>
  <si>
    <t>Typos fixed, effects on the systems columns filled</t>
  </si>
  <si>
    <t>Cell unit (NAND2*4)</t>
  </si>
  <si>
    <t>B2</t>
  </si>
  <si>
    <t>Typos fixed, PKG FIT rate multiplier removed, digital number of elements changed with NAND2*4 instead of direct transistor numbers.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</si>
</sst>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000"/>
    <numFmt numFmtId="166" formatCode="0.000000_ "/>
    <numFmt numFmtId="167" formatCode="0.00000"/>
    <numFmt numFmtId="168" formatCode="0.0000"/>
    <numFmt numFmtId="169" formatCode="0.0"/>
    <numFmt numFmtId="170" formatCode="0.000_ "/>
    <numFmt numFmtId="171" formatCode="0.00000_);[Red]\(0.00000\)"/>
    <numFmt numFmtId="172" formatCode="#,##0.000;[Red]\-#,##0.000"/>
    <numFmt numFmtId="173" formatCode="##0.00E+0"/>
    <numFmt numFmtId="174" formatCode="0.000%"/>
  </numFmts>
  <fonts count="84">
    <font>
      <sz val="11"/>
      <color theme="1"/>
      <name val="Calibri"/>
      <family val="2"/>
      <scheme val="minor"/>
    </font>
    <font>
      <sz val="11"/>
      <color theme="1"/>
      <name val="Calibri"/>
      <family val="2"/>
      <charset val="129"/>
      <scheme val="minor"/>
    </font>
    <font>
      <sz val="6"/>
      <name val="Calibri"/>
      <family val="3"/>
      <charset val="128"/>
      <scheme val="minor"/>
    </font>
    <font>
      <sz val="8"/>
      <name val="Calibri"/>
      <family val="3"/>
      <charset val="129"/>
      <scheme val="minor"/>
    </font>
    <font>
      <sz val="10"/>
      <name val="Arial"/>
      <family val="2"/>
    </font>
    <font>
      <sz val="8"/>
      <name val="돋움"/>
      <family val="3"/>
      <charset val="129"/>
    </font>
    <font>
      <sz val="6"/>
      <name val="ＭＳ Ｐゴシック"/>
      <family val="3"/>
      <charset val="128"/>
    </font>
    <font>
      <sz val="10"/>
      <name val="Arial"/>
      <family val="2"/>
    </font>
    <font>
      <sz val="11"/>
      <color theme="1"/>
      <name val="Calibri"/>
      <family val="2"/>
      <scheme val="minor"/>
    </font>
    <font>
      <sz val="11"/>
      <color theme="1"/>
      <name val="Calibri"/>
      <family val="2"/>
      <charset val="128"/>
      <scheme val="minor"/>
    </font>
    <font>
      <sz val="11"/>
      <color indexed="8"/>
      <name val="맑은 고딕"/>
      <family val="2"/>
      <charset val="129"/>
    </font>
    <font>
      <sz val="6"/>
      <name val="Calibri"/>
      <family val="2"/>
      <charset val="128"/>
      <scheme val="minor"/>
    </font>
    <font>
      <sz val="10"/>
      <name val="맑은 고딕"/>
      <family val="3"/>
      <charset val="129"/>
    </font>
    <font>
      <sz val="10"/>
      <color indexed="8"/>
      <name val="맑은 고딕"/>
      <family val="3"/>
      <charset val="129"/>
    </font>
    <font>
      <sz val="6"/>
      <name val="맑은 고딕"/>
      <family val="3"/>
      <charset val="129"/>
    </font>
    <font>
      <sz val="11"/>
      <color indexed="8"/>
      <name val="맑은 고딕"/>
      <family val="3"/>
      <charset val="129"/>
    </font>
    <font>
      <sz val="11"/>
      <name val="맑은 고딕"/>
      <family val="3"/>
      <charset val="129"/>
    </font>
    <font>
      <sz val="6"/>
      <name val="맑은 고딕"/>
      <family val="2"/>
      <charset val="129"/>
    </font>
    <font>
      <sz val="11"/>
      <color indexed="8"/>
      <name val="Calibri"/>
      <family val="2"/>
    </font>
    <font>
      <b/>
      <sz val="9"/>
      <color rgb="FF000000"/>
      <name val="돋움"/>
      <family val="3"/>
      <charset val="129"/>
    </font>
    <font>
      <b/>
      <sz val="9"/>
      <color rgb="FF000000"/>
      <name val="Tahoma"/>
      <family val="2"/>
    </font>
    <font>
      <sz val="11"/>
      <color theme="1"/>
      <name val="Aptos"/>
      <family val="2"/>
    </font>
    <font>
      <b/>
      <sz val="12"/>
      <color theme="0"/>
      <name val="Aptos"/>
      <family val="2"/>
    </font>
    <font>
      <b/>
      <sz val="10"/>
      <name val="Aptos"/>
      <family val="2"/>
    </font>
    <font>
      <b/>
      <sz val="28"/>
      <color theme="1"/>
      <name val="Aptos"/>
      <family val="2"/>
    </font>
    <font>
      <b/>
      <sz val="20"/>
      <color theme="0"/>
      <name val="Aptos"/>
      <family val="2"/>
    </font>
    <font>
      <b/>
      <sz val="18"/>
      <color theme="0"/>
      <name val="Aptos"/>
      <family val="2"/>
    </font>
    <font>
      <sz val="10"/>
      <color theme="1"/>
      <name val="Aptos"/>
      <family val="2"/>
    </font>
    <font>
      <sz val="10"/>
      <color rgb="FF000000"/>
      <name val="Aptos"/>
      <family val="2"/>
    </font>
    <font>
      <sz val="10"/>
      <name val="Aptos"/>
      <family val="2"/>
    </font>
    <font>
      <sz val="9"/>
      <color theme="1"/>
      <name val="Aptos"/>
      <family val="2"/>
    </font>
    <font>
      <b/>
      <sz val="28"/>
      <name val="Aptos"/>
      <family val="2"/>
    </font>
    <font>
      <sz val="11"/>
      <name val="Aptos"/>
      <family val="2"/>
    </font>
    <font>
      <b/>
      <sz val="28"/>
      <color rgb="FF006666"/>
      <name val="Aptos"/>
      <family val="2"/>
    </font>
    <font>
      <b/>
      <sz val="11"/>
      <name val="Aptos"/>
      <family val="2"/>
    </font>
    <font>
      <sz val="11"/>
      <color rgb="FFFF0000"/>
      <name val="Aptos"/>
      <family val="2"/>
    </font>
    <font>
      <b/>
      <sz val="16"/>
      <color theme="0"/>
      <name val="Aptos"/>
      <family val="2"/>
    </font>
    <font>
      <sz val="9"/>
      <name val="Aptos"/>
      <family val="2"/>
    </font>
    <font>
      <b/>
      <sz val="14"/>
      <color rgb="FFFF0000"/>
      <name val="Aptos"/>
      <family val="2"/>
    </font>
    <font>
      <b/>
      <sz val="11"/>
      <color theme="1"/>
      <name val="Aptos"/>
      <family val="2"/>
    </font>
    <font>
      <b/>
      <sz val="36"/>
      <name val="Aptos"/>
      <family val="2"/>
    </font>
    <font>
      <b/>
      <sz val="28"/>
      <color theme="0"/>
      <name val="Aptos"/>
      <family val="2"/>
    </font>
    <font>
      <sz val="10"/>
      <color indexed="8"/>
      <name val="Aptos"/>
      <family val="2"/>
    </font>
    <font>
      <sz val="11"/>
      <color rgb="FF000000"/>
      <name val="Aptos"/>
      <family val="2"/>
    </font>
    <font>
      <sz val="11"/>
      <color indexed="8"/>
      <name val="Aptos"/>
      <family val="2"/>
    </font>
    <font>
      <b/>
      <sz val="11"/>
      <color theme="0"/>
      <name val="Aptos"/>
      <family val="2"/>
    </font>
    <font>
      <sz val="12"/>
      <name val="Aptos"/>
      <family val="2"/>
    </font>
    <font>
      <b/>
      <sz val="12"/>
      <name val="Aptos"/>
      <family val="2"/>
    </font>
    <font>
      <sz val="12"/>
      <color rgb="FF000000"/>
      <name val="Aptos"/>
      <family val="2"/>
    </font>
    <font>
      <sz val="12"/>
      <color theme="1"/>
      <name val="Aptos"/>
      <family val="2"/>
    </font>
    <font>
      <sz val="8"/>
      <name val="Aptos"/>
      <family val="2"/>
    </font>
    <font>
      <b/>
      <sz val="16"/>
      <color theme="1"/>
      <name val="Aptos"/>
      <family val="2"/>
    </font>
    <font>
      <b/>
      <sz val="14"/>
      <color theme="0"/>
      <name val="Aptos"/>
      <family val="2"/>
    </font>
    <font>
      <sz val="11"/>
      <color theme="0"/>
      <name val="Aptos"/>
      <family val="2"/>
    </font>
    <font>
      <strike/>
      <sz val="11"/>
      <color theme="1"/>
      <name val="Aptos"/>
      <family val="2"/>
    </font>
    <font>
      <b/>
      <sz val="11"/>
      <color rgb="FFFF0000"/>
      <name val="Aptos"/>
      <family val="2"/>
    </font>
    <font>
      <b/>
      <sz val="18"/>
      <color rgb="FFFF0000"/>
      <name val="Aptos"/>
      <family val="2"/>
    </font>
    <font>
      <b/>
      <sz val="10"/>
      <color rgb="FF000000"/>
      <name val="Aptos"/>
      <family val="2"/>
    </font>
    <font>
      <sz val="14"/>
      <color rgb="FF000000"/>
      <name val="Aptos"/>
      <family val="2"/>
    </font>
    <font>
      <b/>
      <vertAlign val="subscript"/>
      <sz val="12"/>
      <color rgb="FF000000"/>
      <name val="Aptos"/>
      <family val="2"/>
    </font>
    <font>
      <vertAlign val="subscript"/>
      <sz val="12"/>
      <name val="Aptos"/>
      <family val="2"/>
    </font>
    <font>
      <sz val="16"/>
      <name val="Aptos"/>
      <family val="2"/>
    </font>
    <font>
      <b/>
      <sz val="16"/>
      <name val="Aptos"/>
      <family val="2"/>
    </font>
    <font>
      <b/>
      <sz val="16"/>
      <color rgb="FFFF0000"/>
      <name val="Aptos"/>
      <family val="2"/>
    </font>
    <font>
      <vertAlign val="subscript"/>
      <sz val="16"/>
      <name val="Aptos"/>
      <family val="2"/>
    </font>
    <font>
      <vertAlign val="superscript"/>
      <sz val="10"/>
      <name val="Aptos"/>
      <family val="2"/>
    </font>
    <font>
      <vertAlign val="subscript"/>
      <sz val="11"/>
      <color theme="1"/>
      <name val="Aptos"/>
      <family val="2"/>
    </font>
    <font>
      <vertAlign val="subscript"/>
      <sz val="10"/>
      <name val="Aptos"/>
      <family val="2"/>
    </font>
    <font>
      <sz val="9.35"/>
      <color theme="1"/>
      <name val="Aptos"/>
      <family val="2"/>
    </font>
    <font>
      <vertAlign val="superscript"/>
      <sz val="9.35"/>
      <color theme="1"/>
      <name val="Aptos"/>
      <family val="2"/>
    </font>
    <font>
      <vertAlign val="superscript"/>
      <sz val="12"/>
      <color theme="1"/>
      <name val="Aptos"/>
      <family val="2"/>
    </font>
    <font>
      <b/>
      <sz val="12"/>
      <color indexed="8"/>
      <name val="Aptos"/>
      <family val="2"/>
    </font>
    <font>
      <b/>
      <sz val="18"/>
      <color indexed="8"/>
      <name val="Aptos"/>
      <family val="2"/>
    </font>
    <font>
      <b/>
      <sz val="12"/>
      <color indexed="62"/>
      <name val="Aptos"/>
      <family val="2"/>
    </font>
    <font>
      <b/>
      <sz val="8"/>
      <name val="Aptos"/>
      <family val="2"/>
    </font>
    <font>
      <b/>
      <sz val="22"/>
      <color indexed="56"/>
      <name val="Aptos"/>
      <family val="2"/>
    </font>
    <font>
      <b/>
      <i/>
      <sz val="18"/>
      <color theme="0"/>
      <name val="Aptos"/>
      <family val="2"/>
    </font>
    <font>
      <b/>
      <sz val="12"/>
      <color indexed="10"/>
      <name val="Aptos"/>
      <family val="2"/>
    </font>
    <font>
      <sz val="8"/>
      <color indexed="9"/>
      <name val="Aptos"/>
      <family val="2"/>
    </font>
    <font>
      <i/>
      <sz val="8"/>
      <color indexed="12"/>
      <name val="Aptos"/>
      <family val="2"/>
    </font>
    <font>
      <i/>
      <sz val="8"/>
      <name val="Aptos"/>
      <family val="2"/>
    </font>
    <font>
      <i/>
      <sz val="10"/>
      <color indexed="12"/>
      <name val="Aptos"/>
      <family val="2"/>
    </font>
    <font>
      <b/>
      <sz val="10"/>
      <color theme="0"/>
      <name val="Aptos"/>
      <family val="2"/>
    </font>
    <font>
      <b/>
      <sz val="11"/>
      <color rgb="FF000000"/>
      <name val="Aptos"/>
      <family val="2"/>
    </font>
  </fonts>
  <fills count="16">
    <fill>
      <patternFill patternType="none"/>
    </fill>
    <fill>
      <patternFill patternType="gray125"/>
    </fill>
    <fill>
      <patternFill patternType="solid">
        <fgColor theme="0"/>
        <bgColor indexed="64"/>
      </patternFill>
    </fill>
    <fill>
      <patternFill patternType="solid">
        <fgColor rgb="FF578278"/>
        <bgColor indexed="64"/>
      </patternFill>
    </fill>
    <fill>
      <patternFill patternType="solid">
        <fgColor theme="9" tint="0.59999389629810485"/>
        <bgColor indexed="64"/>
      </patternFill>
    </fill>
    <fill>
      <patternFill patternType="solid">
        <fgColor rgb="FF7BA79D"/>
        <bgColor indexed="64"/>
      </patternFill>
    </fill>
    <fill>
      <patternFill patternType="solid">
        <fgColor theme="0" tint="-0.49998474074526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3" tint="0.79998168889431442"/>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rgb="FFFF0000"/>
        <bgColor indexed="64"/>
      </patternFill>
    </fill>
    <fill>
      <patternFill patternType="solid">
        <fgColor theme="6" tint="0.59999389629810485"/>
        <bgColor indexed="64"/>
      </patternFill>
    </fill>
    <fill>
      <patternFill patternType="solid">
        <fgColor theme="0" tint="-4.9989318521683403E-2"/>
        <bgColor indexed="64"/>
      </patternFill>
    </fill>
    <fill>
      <patternFill patternType="solid">
        <fgColor theme="6" tint="0.79998168889431442"/>
        <bgColor indexed="64"/>
      </patternFill>
    </fill>
  </fills>
  <borders count="23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rgb="FFAECAC4"/>
      </right>
      <top style="thin">
        <color indexed="64"/>
      </top>
      <bottom style="thin">
        <color rgb="FFAECAC4"/>
      </bottom>
      <diagonal/>
    </border>
    <border>
      <left style="thin">
        <color rgb="FFAECAC4"/>
      </left>
      <right style="thin">
        <color rgb="FFAECAC4"/>
      </right>
      <top style="thin">
        <color indexed="64"/>
      </top>
      <bottom style="thin">
        <color rgb="FFAECAC4"/>
      </bottom>
      <diagonal/>
    </border>
    <border>
      <left style="thin">
        <color rgb="FFAECAC4"/>
      </left>
      <right style="thin">
        <color indexed="64"/>
      </right>
      <top style="thin">
        <color indexed="64"/>
      </top>
      <bottom style="thin">
        <color rgb="FFAECAC4"/>
      </bottom>
      <diagonal/>
    </border>
    <border>
      <left style="thin">
        <color indexed="64"/>
      </left>
      <right style="thin">
        <color rgb="FFAECAC4"/>
      </right>
      <top style="thin">
        <color rgb="FFAECAC4"/>
      </top>
      <bottom style="thin">
        <color rgb="FFAECAC4"/>
      </bottom>
      <diagonal/>
    </border>
    <border>
      <left style="thin">
        <color rgb="FFAECAC4"/>
      </left>
      <right style="thin">
        <color rgb="FFAECAC4"/>
      </right>
      <top style="thin">
        <color rgb="FFAECAC4"/>
      </top>
      <bottom style="thin">
        <color rgb="FFAECAC4"/>
      </bottom>
      <diagonal/>
    </border>
    <border>
      <left style="thin">
        <color rgb="FFAECAC4"/>
      </left>
      <right style="thin">
        <color indexed="64"/>
      </right>
      <top style="thin">
        <color rgb="FFAECAC4"/>
      </top>
      <bottom style="thin">
        <color rgb="FFAECAC4"/>
      </bottom>
      <diagonal/>
    </border>
    <border>
      <left style="thin">
        <color indexed="64"/>
      </left>
      <right style="thin">
        <color rgb="FFAECAC4"/>
      </right>
      <top style="thin">
        <color rgb="FFAECAC4"/>
      </top>
      <bottom style="thin">
        <color indexed="64"/>
      </bottom>
      <diagonal/>
    </border>
    <border>
      <left style="thin">
        <color rgb="FFAECAC4"/>
      </left>
      <right style="thin">
        <color rgb="FFAECAC4"/>
      </right>
      <top style="thin">
        <color rgb="FFAECAC4"/>
      </top>
      <bottom style="thin">
        <color indexed="64"/>
      </bottom>
      <diagonal/>
    </border>
    <border>
      <left style="thin">
        <color rgb="FFAECAC4"/>
      </left>
      <right style="thin">
        <color indexed="64"/>
      </right>
      <top style="thin">
        <color rgb="FFAECAC4"/>
      </top>
      <bottom style="thin">
        <color indexed="64"/>
      </bottom>
      <diagonal/>
    </border>
    <border>
      <left/>
      <right/>
      <top style="thin">
        <color indexed="64"/>
      </top>
      <bottom style="thin">
        <color indexed="64"/>
      </bottom>
      <diagonal/>
    </border>
    <border>
      <left style="thin">
        <color indexed="64"/>
      </left>
      <right/>
      <top style="thin">
        <color indexed="64"/>
      </top>
      <bottom style="thin">
        <color rgb="FFAECAC4"/>
      </bottom>
      <diagonal/>
    </border>
    <border>
      <left/>
      <right style="thin">
        <color rgb="FFAECAC4"/>
      </right>
      <top style="thin">
        <color indexed="64"/>
      </top>
      <bottom style="thin">
        <color rgb="FFAECAC4"/>
      </bottom>
      <diagonal/>
    </border>
    <border>
      <left style="thin">
        <color indexed="64"/>
      </left>
      <right/>
      <top style="thin">
        <color rgb="FFAECAC4"/>
      </top>
      <bottom style="thin">
        <color rgb="FFAECAC4"/>
      </bottom>
      <diagonal/>
    </border>
    <border>
      <left/>
      <right style="thin">
        <color rgb="FFAECAC4"/>
      </right>
      <top style="thin">
        <color rgb="FFAECAC4"/>
      </top>
      <bottom style="thin">
        <color rgb="FFAECAC4"/>
      </bottom>
      <diagonal/>
    </border>
    <border>
      <left style="thin">
        <color rgb="FFAECAC4"/>
      </left>
      <right/>
      <top style="thin">
        <color rgb="FFAECAC4"/>
      </top>
      <bottom style="thin">
        <color rgb="FFAECAC4"/>
      </bottom>
      <diagonal/>
    </border>
    <border>
      <left/>
      <right style="thin">
        <color indexed="64"/>
      </right>
      <top style="thin">
        <color rgb="FFAECAC4"/>
      </top>
      <bottom style="thin">
        <color rgb="FFAECAC4"/>
      </bottom>
      <diagonal/>
    </border>
    <border>
      <left/>
      <right/>
      <top style="thin">
        <color rgb="FFAECAC4"/>
      </top>
      <bottom style="thin">
        <color rgb="FFAECAC4"/>
      </bottom>
      <diagonal/>
    </border>
    <border>
      <left style="thin">
        <color indexed="64"/>
      </left>
      <right/>
      <top style="thin">
        <color rgb="FFAECAC4"/>
      </top>
      <bottom style="thin">
        <color indexed="64"/>
      </bottom>
      <diagonal/>
    </border>
    <border>
      <left/>
      <right style="thin">
        <color rgb="FFAECAC4"/>
      </right>
      <top style="thin">
        <color rgb="FFAECAC4"/>
      </top>
      <bottom style="thin">
        <color indexed="64"/>
      </bottom>
      <diagonal/>
    </border>
    <border>
      <left/>
      <right/>
      <top style="thin">
        <color indexed="64"/>
      </top>
      <bottom style="thin">
        <color rgb="FFAECAC4"/>
      </bottom>
      <diagonal/>
    </border>
    <border>
      <left/>
      <right style="thin">
        <color indexed="64"/>
      </right>
      <top style="thin">
        <color indexed="64"/>
      </top>
      <bottom style="thin">
        <color rgb="FFAECAC4"/>
      </bottom>
      <diagonal/>
    </border>
    <border>
      <left/>
      <right style="thin">
        <color indexed="64"/>
      </right>
      <top style="thin">
        <color rgb="FFAECAC4"/>
      </top>
      <bottom style="thin">
        <color indexed="64"/>
      </bottom>
      <diagonal/>
    </border>
    <border>
      <left style="thin">
        <color rgb="FFAECAC4"/>
      </left>
      <right/>
      <top style="thin">
        <color indexed="64"/>
      </top>
      <bottom style="thin">
        <color rgb="FFAECAC4"/>
      </bottom>
      <diagonal/>
    </border>
    <border>
      <left style="thin">
        <color indexed="64"/>
      </left>
      <right style="thin">
        <color rgb="FFAECAC4"/>
      </right>
      <top style="thin">
        <color rgb="FFAECAC4"/>
      </top>
      <bottom/>
      <diagonal/>
    </border>
    <border>
      <left style="thin">
        <color rgb="FFAECAC4"/>
      </left>
      <right/>
      <top style="thin">
        <color rgb="FFAECAC4"/>
      </top>
      <bottom style="thin">
        <color theme="1"/>
      </bottom>
      <diagonal/>
    </border>
    <border>
      <left/>
      <right style="thin">
        <color indexed="64"/>
      </right>
      <top style="thin">
        <color rgb="FFAECAC4"/>
      </top>
      <bottom style="thin">
        <color theme="1"/>
      </bottom>
      <diagonal/>
    </border>
    <border>
      <left style="thin">
        <color rgb="FFAECAC4"/>
      </left>
      <right/>
      <top style="thin">
        <color rgb="FFAECAC4"/>
      </top>
      <bottom style="thin">
        <color indexed="64"/>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top/>
      <bottom style="thin">
        <color rgb="FFAECAC4"/>
      </bottom>
      <diagonal/>
    </border>
    <border>
      <left/>
      <right style="thin">
        <color indexed="64"/>
      </right>
      <top/>
      <bottom style="thin">
        <color rgb="FFAECAC4"/>
      </bottom>
      <diagonal/>
    </border>
    <border>
      <left style="thin">
        <color indexed="64"/>
      </left>
      <right/>
      <top/>
      <bottom/>
      <diagonal/>
    </border>
    <border>
      <left/>
      <right style="thin">
        <color indexed="64"/>
      </right>
      <top/>
      <bottom/>
      <diagonal/>
    </border>
    <border>
      <left style="thin">
        <color theme="0"/>
      </left>
      <right/>
      <top style="thin">
        <color theme="0"/>
      </top>
      <bottom/>
      <diagonal/>
    </border>
    <border>
      <left style="thin">
        <color theme="0"/>
      </left>
      <right/>
      <top/>
      <bottom style="thin">
        <color theme="0"/>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style="medium">
        <color indexed="64"/>
      </right>
      <top/>
      <bottom style="thin">
        <color indexed="64"/>
      </bottom>
      <diagonal/>
    </border>
    <border>
      <left/>
      <right style="thin">
        <color theme="0"/>
      </right>
      <top/>
      <bottom style="thin">
        <color theme="0"/>
      </bottom>
      <diagonal/>
    </border>
    <border>
      <left/>
      <right style="thin">
        <color theme="0"/>
      </right>
      <top style="thin">
        <color theme="0"/>
      </top>
      <bottom/>
      <diagonal/>
    </border>
    <border>
      <left/>
      <right/>
      <top/>
      <bottom style="thin">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thin">
        <color indexed="64"/>
      </left>
      <right style="thin">
        <color theme="0"/>
      </right>
      <top/>
      <bottom style="thin">
        <color theme="0"/>
      </bottom>
      <diagonal/>
    </border>
    <border>
      <left style="thin">
        <color indexed="64"/>
      </left>
      <right style="thin">
        <color theme="0"/>
      </right>
      <top style="thin">
        <color theme="0"/>
      </top>
      <bottom style="thin">
        <color theme="0"/>
      </bottom>
      <diagonal/>
    </border>
    <border>
      <left style="thin">
        <color indexed="64"/>
      </left>
      <right style="thin">
        <color theme="0"/>
      </right>
      <top style="thin">
        <color theme="0"/>
      </top>
      <bottom/>
      <diagonal/>
    </border>
    <border>
      <left style="thin">
        <color indexed="64"/>
      </left>
      <right/>
      <top style="thin">
        <color theme="0"/>
      </top>
      <bottom/>
      <diagonal/>
    </border>
    <border>
      <left style="thin">
        <color indexed="64"/>
      </left>
      <right/>
      <top/>
      <bottom style="thin">
        <color theme="0"/>
      </bottom>
      <diagonal/>
    </border>
    <border>
      <left style="thin">
        <color indexed="64"/>
      </left>
      <right/>
      <top style="thin">
        <color theme="0"/>
      </top>
      <bottom style="thin">
        <color theme="0"/>
      </bottom>
      <diagonal/>
    </border>
    <border>
      <left/>
      <right/>
      <top style="thin">
        <color theme="0"/>
      </top>
      <bottom/>
      <diagonal/>
    </border>
    <border>
      <left/>
      <right/>
      <top style="thin">
        <color indexed="64"/>
      </top>
      <bottom style="thin">
        <color theme="0"/>
      </bottom>
      <diagonal/>
    </border>
    <border>
      <left style="thin">
        <color theme="0"/>
      </left>
      <right style="thin">
        <color theme="0"/>
      </right>
      <top style="thin">
        <color indexed="64"/>
      </top>
      <bottom/>
      <diagonal/>
    </border>
    <border>
      <left style="thin">
        <color theme="0"/>
      </left>
      <right style="thin">
        <color theme="0"/>
      </right>
      <top style="thin">
        <color indexed="64"/>
      </top>
      <bottom style="thin">
        <color theme="0"/>
      </bottom>
      <diagonal/>
    </border>
    <border>
      <left style="thin">
        <color rgb="FFAECAC4"/>
      </left>
      <right style="thin">
        <color rgb="FFAECAC4"/>
      </right>
      <top style="thin">
        <color theme="1"/>
      </top>
      <bottom style="thin">
        <color rgb="FFAECAC4"/>
      </bottom>
      <diagonal/>
    </border>
    <border>
      <left style="thin">
        <color rgb="FFAECAC4"/>
      </left>
      <right style="thin">
        <color indexed="64"/>
      </right>
      <top style="thin">
        <color theme="1"/>
      </top>
      <bottom style="thin">
        <color rgb="FFAECAC4"/>
      </bottom>
      <diagonal/>
    </border>
    <border>
      <left style="thin">
        <color theme="1"/>
      </left>
      <right style="thin">
        <color rgb="FFAECAC4"/>
      </right>
      <top/>
      <bottom style="thin">
        <color rgb="FFAECAC4"/>
      </bottom>
      <diagonal/>
    </border>
    <border>
      <left style="thin">
        <color rgb="FFAECAC4"/>
      </left>
      <right style="thin">
        <color rgb="FFAECAC4"/>
      </right>
      <top/>
      <bottom style="thin">
        <color rgb="FFAECAC4"/>
      </bottom>
      <diagonal/>
    </border>
    <border>
      <left style="thin">
        <color rgb="FFAECAC4"/>
      </left>
      <right style="thin">
        <color indexed="64"/>
      </right>
      <top/>
      <bottom style="thin">
        <color rgb="FFAECAC4"/>
      </bottom>
      <diagonal/>
    </border>
    <border>
      <left style="thin">
        <color theme="1"/>
      </left>
      <right/>
      <top style="thin">
        <color theme="1"/>
      </top>
      <bottom style="thin">
        <color rgb="FFAECAC4"/>
      </bottom>
      <diagonal/>
    </border>
    <border>
      <left/>
      <right/>
      <top style="thin">
        <color theme="1"/>
      </top>
      <bottom style="thin">
        <color rgb="FFAECAC4"/>
      </bottom>
      <diagonal/>
    </border>
    <border>
      <left/>
      <right style="thin">
        <color theme="1"/>
      </right>
      <top style="thin">
        <color theme="1"/>
      </top>
      <bottom style="thin">
        <color rgb="FFAECAC4"/>
      </bottom>
      <diagonal/>
    </border>
    <border>
      <left style="thin">
        <color theme="0"/>
      </left>
      <right style="thin">
        <color theme="0"/>
      </right>
      <top style="thin">
        <color theme="0"/>
      </top>
      <bottom style="thin">
        <color auto="1"/>
      </bottom>
      <diagonal/>
    </border>
    <border>
      <left style="thin">
        <color rgb="FFAECAC4"/>
      </left>
      <right style="thin">
        <color rgb="FFAECAC4"/>
      </right>
      <top style="thin">
        <color rgb="FFAECAC4"/>
      </top>
      <bottom style="thin">
        <color theme="1"/>
      </bottom>
      <diagonal/>
    </border>
    <border>
      <left style="thin">
        <color rgb="FFAECAC4"/>
      </left>
      <right style="thin">
        <color indexed="64"/>
      </right>
      <top style="thin">
        <color rgb="FFAECAC4"/>
      </top>
      <bottom style="thin">
        <color theme="1"/>
      </bottom>
      <diagonal/>
    </border>
    <border>
      <left style="thin">
        <color theme="1"/>
      </left>
      <right/>
      <top style="thin">
        <color theme="1"/>
      </top>
      <bottom style="thin">
        <color rgb="FF578278"/>
      </bottom>
      <diagonal/>
    </border>
    <border>
      <left/>
      <right/>
      <top style="thin">
        <color theme="1"/>
      </top>
      <bottom style="thin">
        <color rgb="FF578278"/>
      </bottom>
      <diagonal/>
    </border>
    <border>
      <left/>
      <right style="thin">
        <color theme="1"/>
      </right>
      <top style="thin">
        <color theme="1"/>
      </top>
      <bottom style="thin">
        <color rgb="FF578278"/>
      </bottom>
      <diagonal/>
    </border>
    <border>
      <left style="thin">
        <color theme="0"/>
      </left>
      <right style="thin">
        <color theme="0"/>
      </right>
      <top style="thin">
        <color indexed="64"/>
      </top>
      <bottom style="thin">
        <color theme="1"/>
      </bottom>
      <diagonal/>
    </border>
    <border>
      <left style="thin">
        <color theme="1"/>
      </left>
      <right style="thin">
        <color theme="1"/>
      </right>
      <top style="thin">
        <color theme="1"/>
      </top>
      <bottom style="thin">
        <color theme="1"/>
      </bottom>
      <diagonal/>
    </border>
    <border>
      <left style="thin">
        <color theme="1"/>
      </left>
      <right style="thin">
        <color rgb="FF578278"/>
      </right>
      <top style="thin">
        <color rgb="FF578278"/>
      </top>
      <bottom style="thin">
        <color rgb="FF578278"/>
      </bottom>
      <diagonal/>
    </border>
    <border>
      <left style="thin">
        <color rgb="FF578278"/>
      </left>
      <right style="thin">
        <color rgb="FF578278"/>
      </right>
      <top style="thin">
        <color rgb="FF578278"/>
      </top>
      <bottom style="thin">
        <color rgb="FF578278"/>
      </bottom>
      <diagonal/>
    </border>
    <border>
      <left style="thin">
        <color theme="1"/>
      </left>
      <right/>
      <top style="thin">
        <color theme="0"/>
      </top>
      <bottom style="thin">
        <color theme="0"/>
      </bottom>
      <diagonal/>
    </border>
    <border>
      <left style="thin">
        <color theme="0"/>
      </left>
      <right style="thin">
        <color theme="0"/>
      </right>
      <top style="thin">
        <color rgb="FF578278"/>
      </top>
      <bottom style="thin">
        <color theme="0"/>
      </bottom>
      <diagonal/>
    </border>
    <border>
      <left style="thin">
        <color theme="0"/>
      </left>
      <right style="thin">
        <color theme="1"/>
      </right>
      <top style="thin">
        <color rgb="FF578278"/>
      </top>
      <bottom style="thin">
        <color theme="0"/>
      </bottom>
      <diagonal/>
    </border>
    <border>
      <left style="thin">
        <color theme="0"/>
      </left>
      <right style="thin">
        <color theme="1"/>
      </right>
      <top style="thin">
        <color theme="0"/>
      </top>
      <bottom style="thin">
        <color theme="0"/>
      </bottom>
      <diagonal/>
    </border>
    <border>
      <left style="thin">
        <color theme="0"/>
      </left>
      <right style="thin">
        <color theme="0"/>
      </right>
      <top style="thin">
        <color theme="1"/>
      </top>
      <bottom style="thin">
        <color theme="0"/>
      </bottom>
      <diagonal/>
    </border>
    <border>
      <left style="thin">
        <color rgb="FF578278"/>
      </left>
      <right/>
      <top style="thin">
        <color rgb="FF578278"/>
      </top>
      <bottom style="thin">
        <color rgb="FF578278"/>
      </bottom>
      <diagonal/>
    </border>
    <border>
      <left/>
      <right/>
      <top style="thin">
        <color rgb="FF578278"/>
      </top>
      <bottom style="thin">
        <color rgb="FF578278"/>
      </bottom>
      <diagonal/>
    </border>
    <border>
      <left/>
      <right style="thin">
        <color rgb="FF578278"/>
      </right>
      <top style="thin">
        <color rgb="FF578278"/>
      </top>
      <bottom style="thin">
        <color rgb="FF578278"/>
      </bottom>
      <diagonal/>
    </border>
    <border>
      <left style="thin">
        <color theme="1"/>
      </left>
      <right/>
      <top style="thin">
        <color rgb="FF578278"/>
      </top>
      <bottom style="thin">
        <color rgb="FF578278"/>
      </bottom>
      <diagonal/>
    </border>
    <border>
      <left/>
      <right style="thin">
        <color theme="1"/>
      </right>
      <top style="thin">
        <color rgb="FF578278"/>
      </top>
      <bottom style="thin">
        <color rgb="FF578278"/>
      </bottom>
      <diagonal/>
    </border>
    <border>
      <left style="thin">
        <color rgb="FF578278"/>
      </left>
      <right style="thin">
        <color theme="0"/>
      </right>
      <top style="thin">
        <color theme="0"/>
      </top>
      <bottom style="thin">
        <color theme="0"/>
      </bottom>
      <diagonal/>
    </border>
    <border>
      <left style="thin">
        <color theme="0"/>
      </left>
      <right style="thin">
        <color theme="0"/>
      </right>
      <top style="thin">
        <color theme="0"/>
      </top>
      <bottom style="thin">
        <color rgb="FF578278"/>
      </bottom>
      <diagonal/>
    </border>
    <border>
      <left style="thin">
        <color theme="0"/>
      </left>
      <right style="thin">
        <color theme="1"/>
      </right>
      <top style="thin">
        <color theme="0"/>
      </top>
      <bottom style="thin">
        <color rgb="FF578278"/>
      </bottom>
      <diagonal/>
    </border>
    <border>
      <left style="thin">
        <color theme="1"/>
      </left>
      <right style="thin">
        <color theme="0"/>
      </right>
      <top style="thin">
        <color rgb="FF578278"/>
      </top>
      <bottom style="thin">
        <color rgb="FF578278"/>
      </bottom>
      <diagonal/>
    </border>
    <border>
      <left style="thin">
        <color theme="0"/>
      </left>
      <right style="thin">
        <color theme="0"/>
      </right>
      <top style="thin">
        <color rgb="FF578278"/>
      </top>
      <bottom style="thin">
        <color rgb="FF578278"/>
      </bottom>
      <diagonal/>
    </border>
    <border>
      <left style="thin">
        <color theme="0"/>
      </left>
      <right style="thin">
        <color theme="1"/>
      </right>
      <top style="thin">
        <color rgb="FF578278"/>
      </top>
      <bottom style="thin">
        <color rgb="FF578278"/>
      </bottom>
      <diagonal/>
    </border>
    <border>
      <left style="thin">
        <color rgb="FF578278"/>
      </left>
      <right style="thin">
        <color theme="0"/>
      </right>
      <top style="thin">
        <color rgb="FF578278"/>
      </top>
      <bottom style="thin">
        <color rgb="FF578278"/>
      </bottom>
      <diagonal/>
    </border>
    <border>
      <left style="thin">
        <color theme="1"/>
      </left>
      <right style="thin">
        <color theme="0"/>
      </right>
      <top style="thin">
        <color rgb="FF578278"/>
      </top>
      <bottom/>
      <diagonal/>
    </border>
    <border>
      <left style="thin">
        <color theme="0"/>
      </left>
      <right style="thin">
        <color theme="0"/>
      </right>
      <top style="thin">
        <color rgb="FF578278"/>
      </top>
      <bottom/>
      <diagonal/>
    </border>
    <border>
      <left style="thin">
        <color theme="0"/>
      </left>
      <right style="thin">
        <color theme="1"/>
      </right>
      <top style="thin">
        <color rgb="FF578278"/>
      </top>
      <bottom/>
      <diagonal/>
    </border>
    <border>
      <left/>
      <right style="thin">
        <color theme="0"/>
      </right>
      <top style="thin">
        <color rgb="FF578278"/>
      </top>
      <bottom style="thin">
        <color theme="0"/>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auto="1"/>
      </left>
      <right/>
      <top/>
      <bottom style="thin">
        <color auto="1"/>
      </bottom>
      <diagonal/>
    </border>
    <border>
      <left style="medium">
        <color auto="1"/>
      </left>
      <right style="medium">
        <color auto="1"/>
      </right>
      <top style="thin">
        <color auto="1"/>
      </top>
      <bottom style="medium">
        <color auto="1"/>
      </bottom>
      <diagonal/>
    </border>
    <border>
      <left style="thin">
        <color theme="7" tint="0.59996337778862885"/>
      </left>
      <right style="thin">
        <color theme="7" tint="0.59996337778862885"/>
      </right>
      <top style="thin">
        <color theme="0"/>
      </top>
      <bottom style="thin">
        <color theme="0"/>
      </bottom>
      <diagonal/>
    </border>
    <border>
      <left style="thin">
        <color theme="7" tint="0.59996337778862885"/>
      </left>
      <right style="thin">
        <color theme="0"/>
      </right>
      <top style="thin">
        <color theme="0"/>
      </top>
      <bottom style="thin">
        <color theme="0"/>
      </bottom>
      <diagonal/>
    </border>
    <border>
      <left style="thin">
        <color theme="5" tint="0.59996337778862885"/>
      </left>
      <right style="thin">
        <color theme="5" tint="0.59996337778862885"/>
      </right>
      <top style="thin">
        <color theme="5" tint="0.59996337778862885"/>
      </top>
      <bottom style="thin">
        <color theme="5" tint="0.59996337778862885"/>
      </bottom>
      <diagonal/>
    </border>
    <border>
      <left style="medium">
        <color theme="1"/>
      </left>
      <right style="thin">
        <color theme="1"/>
      </right>
      <top style="medium">
        <color theme="1"/>
      </top>
      <bottom style="thin">
        <color theme="1"/>
      </bottom>
      <diagonal/>
    </border>
    <border>
      <left style="thin">
        <color theme="1"/>
      </left>
      <right style="thin">
        <color theme="1"/>
      </right>
      <top style="medium">
        <color theme="1"/>
      </top>
      <bottom style="thin">
        <color theme="1"/>
      </bottom>
      <diagonal/>
    </border>
    <border>
      <left style="thin">
        <color theme="1"/>
      </left>
      <right style="medium">
        <color theme="1"/>
      </right>
      <top style="medium">
        <color theme="1"/>
      </top>
      <bottom style="thin">
        <color theme="1"/>
      </bottom>
      <diagonal/>
    </border>
    <border>
      <left style="medium">
        <color theme="1"/>
      </left>
      <right style="thin">
        <color theme="1"/>
      </right>
      <top style="thin">
        <color theme="1"/>
      </top>
      <bottom style="thin">
        <color theme="1"/>
      </bottom>
      <diagonal/>
    </border>
    <border>
      <left style="thin">
        <color theme="1"/>
      </left>
      <right style="medium">
        <color theme="1"/>
      </right>
      <top style="thin">
        <color theme="1"/>
      </top>
      <bottom style="thin">
        <color theme="1"/>
      </bottom>
      <diagonal/>
    </border>
    <border>
      <left style="medium">
        <color theme="1"/>
      </left>
      <right style="thin">
        <color theme="1"/>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medium">
        <color theme="1"/>
      </right>
      <top style="thin">
        <color theme="1"/>
      </top>
      <bottom style="medium">
        <color theme="1"/>
      </bottom>
      <diagonal/>
    </border>
    <border>
      <left style="thin">
        <color auto="1"/>
      </left>
      <right style="thin">
        <color theme="5" tint="0.59996337778862885"/>
      </right>
      <top style="thin">
        <color auto="1"/>
      </top>
      <bottom style="thin">
        <color theme="5" tint="0.59996337778862885"/>
      </bottom>
      <diagonal/>
    </border>
    <border>
      <left/>
      <right style="thin">
        <color theme="0"/>
      </right>
      <top style="thin">
        <color auto="1"/>
      </top>
      <bottom style="thin">
        <color theme="0"/>
      </bottom>
      <diagonal/>
    </border>
    <border>
      <left style="thin">
        <color theme="0"/>
      </left>
      <right style="thin">
        <color auto="1"/>
      </right>
      <top style="thin">
        <color auto="1"/>
      </top>
      <bottom style="thin">
        <color theme="0"/>
      </bottom>
      <diagonal/>
    </border>
    <border>
      <left style="thin">
        <color auto="1"/>
      </left>
      <right style="thin">
        <color theme="5" tint="0.59996337778862885"/>
      </right>
      <top style="thin">
        <color theme="5" tint="0.59996337778862885"/>
      </top>
      <bottom style="thin">
        <color theme="5" tint="0.59996337778862885"/>
      </bottom>
      <diagonal/>
    </border>
    <border>
      <left style="thin">
        <color theme="0"/>
      </left>
      <right style="thin">
        <color auto="1"/>
      </right>
      <top style="thin">
        <color theme="0"/>
      </top>
      <bottom style="thin">
        <color theme="0"/>
      </bottom>
      <diagonal/>
    </border>
    <border>
      <left style="thin">
        <color auto="1"/>
      </left>
      <right style="thin">
        <color theme="0"/>
      </right>
      <top/>
      <bottom/>
      <diagonal/>
    </border>
    <border>
      <left style="thin">
        <color auto="1"/>
      </left>
      <right style="thin">
        <color rgb="FFFF0000"/>
      </right>
      <top style="thin">
        <color theme="0"/>
      </top>
      <bottom style="thin">
        <color auto="1"/>
      </bottom>
      <diagonal/>
    </border>
    <border>
      <left style="thin">
        <color rgb="FFFF0000"/>
      </left>
      <right style="thin">
        <color rgb="FFFF0000"/>
      </right>
      <top style="thin">
        <color theme="0"/>
      </top>
      <bottom style="thin">
        <color auto="1"/>
      </bottom>
      <diagonal/>
    </border>
    <border>
      <left style="thin">
        <color rgb="FFFF0000"/>
      </left>
      <right style="thin">
        <color theme="0"/>
      </right>
      <top style="thin">
        <color theme="0"/>
      </top>
      <bottom style="thin">
        <color auto="1"/>
      </bottom>
      <diagonal/>
    </border>
    <border>
      <left style="thin">
        <color theme="0"/>
      </left>
      <right style="thin">
        <color auto="1"/>
      </right>
      <top style="thin">
        <color theme="0"/>
      </top>
      <bottom style="thin">
        <color auto="1"/>
      </bottom>
      <diagonal/>
    </border>
    <border>
      <left/>
      <right/>
      <top/>
      <bottom style="thin">
        <color indexed="64"/>
      </bottom>
      <diagonal/>
    </border>
    <border>
      <left style="thin">
        <color theme="0"/>
      </left>
      <right style="thin">
        <color auto="1"/>
      </right>
      <top/>
      <bottom style="thin">
        <color theme="0"/>
      </bottom>
      <diagonal/>
    </border>
    <border>
      <left style="thin">
        <color theme="0"/>
      </left>
      <right style="thin">
        <color auto="1"/>
      </right>
      <top style="thin">
        <color theme="0"/>
      </top>
      <bottom/>
      <diagonal/>
    </border>
    <border>
      <left/>
      <right style="thin">
        <color auto="1"/>
      </right>
      <top/>
      <bottom style="thin">
        <color auto="1"/>
      </bottom>
      <diagonal/>
    </border>
    <border>
      <left style="thin">
        <color indexed="64"/>
      </left>
      <right style="thin">
        <color theme="0"/>
      </right>
      <top style="thin">
        <color indexed="64"/>
      </top>
      <bottom style="thin">
        <color theme="0"/>
      </bottom>
      <diagonal/>
    </border>
    <border>
      <left style="thin">
        <color theme="0"/>
      </left>
      <right style="thin">
        <color theme="0"/>
      </right>
      <top/>
      <bottom style="thin">
        <color auto="1"/>
      </bottom>
      <diagonal/>
    </border>
    <border>
      <left/>
      <right style="thin">
        <color indexed="64"/>
      </right>
      <top style="thin">
        <color theme="0"/>
      </top>
      <bottom style="thin">
        <color theme="0"/>
      </bottom>
      <diagonal/>
    </border>
    <border>
      <left/>
      <right style="thin">
        <color indexed="64"/>
      </right>
      <top style="thin">
        <color theme="0"/>
      </top>
      <bottom/>
      <diagonal/>
    </border>
    <border>
      <left style="thin">
        <color rgb="FFAECAC4"/>
      </left>
      <right style="thin">
        <color rgb="FFAECAC4"/>
      </right>
      <top style="thin">
        <color indexed="64"/>
      </top>
      <bottom/>
      <diagonal/>
    </border>
    <border>
      <left style="thin">
        <color rgb="FFAECAC4"/>
      </left>
      <right style="thin">
        <color rgb="FFAECAC4"/>
      </right>
      <top/>
      <bottom style="thin">
        <color indexed="64"/>
      </bottom>
      <diagonal/>
    </border>
    <border>
      <left style="thin">
        <color indexed="64"/>
      </left>
      <right style="thin">
        <color rgb="FFAECAC4"/>
      </right>
      <top/>
      <bottom style="thin">
        <color rgb="FFAECAC4"/>
      </bottom>
      <diagonal/>
    </border>
    <border>
      <left style="thin">
        <color rgb="FFAECAC4"/>
      </left>
      <right/>
      <top/>
      <bottom style="thin">
        <color rgb="FFAECAC4"/>
      </bottom>
      <diagonal/>
    </border>
    <border>
      <left/>
      <right style="thin">
        <color indexed="64"/>
      </right>
      <top style="thin">
        <color indexed="64"/>
      </top>
      <bottom/>
      <diagonal/>
    </border>
    <border>
      <left/>
      <right/>
      <top style="thin">
        <color auto="1"/>
      </top>
      <bottom/>
      <diagonal/>
    </border>
    <border>
      <left style="medium">
        <color indexed="64"/>
      </left>
      <right style="thin">
        <color indexed="64"/>
      </right>
      <top style="medium">
        <color auto="1"/>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theme="0"/>
      </right>
      <top style="thin">
        <color theme="0"/>
      </top>
      <bottom style="thin">
        <color indexed="64"/>
      </bottom>
      <diagonal/>
    </border>
    <border>
      <left style="thin">
        <color rgb="FFAECAC4"/>
      </left>
      <right/>
      <top style="thin">
        <color indexed="64"/>
      </top>
      <bottom/>
      <diagonal/>
    </border>
    <border>
      <left style="thin">
        <color theme="1"/>
      </left>
      <right style="thin">
        <color rgb="FFAECAC4"/>
      </right>
      <top style="thin">
        <color theme="1"/>
      </top>
      <bottom style="thin">
        <color rgb="FFAECAC4"/>
      </bottom>
      <diagonal/>
    </border>
    <border>
      <left style="thin">
        <color theme="1"/>
      </left>
      <right style="thin">
        <color rgb="FFAECAC4"/>
      </right>
      <top style="thin">
        <color rgb="FFAECAC4"/>
      </top>
      <bottom style="thin">
        <color rgb="FFAECAC4"/>
      </bottom>
      <diagonal/>
    </border>
    <border>
      <left style="thin">
        <color theme="1"/>
      </left>
      <right style="thin">
        <color rgb="FFAECAC4"/>
      </right>
      <top style="thin">
        <color rgb="FFAECAC4"/>
      </top>
      <bottom style="thin">
        <color theme="1"/>
      </bottom>
      <diagonal/>
    </border>
    <border>
      <left/>
      <right/>
      <top style="thin">
        <color rgb="FF578278"/>
      </top>
      <bottom/>
      <diagonal/>
    </border>
    <border>
      <left/>
      <right style="thin">
        <color theme="1"/>
      </right>
      <top style="thin">
        <color rgb="FF578278"/>
      </top>
      <bottom/>
      <diagonal/>
    </border>
    <border>
      <left style="thin">
        <color theme="1"/>
      </left>
      <right/>
      <top style="thin">
        <color rgb="FF578278"/>
      </top>
      <bottom/>
      <diagonal/>
    </border>
    <border>
      <left/>
      <right style="thin">
        <color rgb="FF578278"/>
      </right>
      <top style="thin">
        <color rgb="FF578278"/>
      </top>
      <bottom/>
      <diagonal/>
    </border>
    <border>
      <left style="thin">
        <color theme="1"/>
      </left>
      <right/>
      <top/>
      <bottom/>
      <diagonal/>
    </border>
    <border>
      <left/>
      <right style="thin">
        <color rgb="FF578278"/>
      </right>
      <top/>
      <bottom/>
      <diagonal/>
    </border>
    <border>
      <left style="thin">
        <color theme="1"/>
      </left>
      <right/>
      <top/>
      <bottom style="thin">
        <color rgb="FF578278"/>
      </bottom>
      <diagonal/>
    </border>
    <border>
      <left/>
      <right style="thin">
        <color rgb="FF578278"/>
      </right>
      <top/>
      <bottom style="thin">
        <color rgb="FF578278"/>
      </bottom>
      <diagonal/>
    </border>
    <border>
      <left style="thin">
        <color rgb="FF578278"/>
      </left>
      <right style="thin">
        <color rgb="FFAECAC4"/>
      </right>
      <top style="thin">
        <color rgb="FF578278"/>
      </top>
      <bottom style="thin">
        <color rgb="FF578278"/>
      </bottom>
      <diagonal/>
    </border>
    <border>
      <left style="thin">
        <color rgb="FFAECAC4"/>
      </left>
      <right/>
      <top style="thin">
        <color rgb="FF578278"/>
      </top>
      <bottom style="thin">
        <color rgb="FF578278"/>
      </bottom>
      <diagonal/>
    </border>
    <border>
      <left/>
      <right style="thin">
        <color theme="1"/>
      </right>
      <top/>
      <bottom/>
      <diagonal/>
    </border>
    <border>
      <left/>
      <right/>
      <top/>
      <bottom style="thin">
        <color rgb="FF578278"/>
      </bottom>
      <diagonal/>
    </border>
    <border>
      <left/>
      <right style="thin">
        <color theme="1"/>
      </right>
      <top/>
      <bottom style="thin">
        <color rgb="FF578278"/>
      </bottom>
      <diagonal/>
    </border>
    <border>
      <left style="thin">
        <color rgb="FFAECAC4"/>
      </left>
      <right/>
      <top style="thin">
        <color rgb="FF578278"/>
      </top>
      <bottom/>
      <diagonal/>
    </border>
    <border>
      <left style="thin">
        <color rgb="FFAECAC4"/>
      </left>
      <right/>
      <top/>
      <bottom/>
      <diagonal/>
    </border>
    <border>
      <left style="thin">
        <color rgb="FFAECAC4"/>
      </left>
      <right/>
      <top/>
      <bottom style="thin">
        <color rgb="FF578278"/>
      </bottom>
      <diagonal/>
    </border>
    <border>
      <left style="thin">
        <color rgb="FFAECAC4"/>
      </left>
      <right style="thin">
        <color indexed="64"/>
      </right>
      <top style="thin">
        <color rgb="FFAECAC4"/>
      </top>
      <bottom/>
      <diagonal/>
    </border>
    <border>
      <left style="thin">
        <color rgb="FFAECAC4"/>
      </left>
      <right/>
      <top style="thin">
        <color theme="1"/>
      </top>
      <bottom style="thin">
        <color rgb="FFAECAC4"/>
      </bottom>
      <diagonal/>
    </border>
    <border>
      <left/>
      <right style="thin">
        <color indexed="64"/>
      </right>
      <top style="thin">
        <color theme="1"/>
      </top>
      <bottom style="thin">
        <color rgb="FFAECAC4"/>
      </bottom>
      <diagonal/>
    </border>
    <border>
      <left/>
      <right style="thin">
        <color rgb="FFAECAC4"/>
      </right>
      <top style="thin">
        <color indexed="64"/>
      </top>
      <bottom style="thin">
        <color indexed="64"/>
      </bottom>
      <diagonal/>
    </border>
    <border>
      <left/>
      <right style="thin">
        <color rgb="FFAECAC4"/>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theme="1"/>
      </left>
      <right style="thin">
        <color theme="1"/>
      </right>
      <top/>
      <bottom style="thin">
        <color theme="1"/>
      </bottom>
      <diagonal/>
    </border>
    <border>
      <left style="thin">
        <color indexed="64"/>
      </left>
      <right/>
      <top style="thin">
        <color indexed="64"/>
      </top>
      <bottom style="thin">
        <color theme="0"/>
      </bottom>
      <diagonal/>
    </border>
    <border>
      <left/>
      <right/>
      <top style="thin">
        <color rgb="FFAECAC4"/>
      </top>
      <bottom style="thin">
        <color indexed="64"/>
      </bottom>
      <diagonal/>
    </border>
    <border>
      <left/>
      <right style="thin">
        <color rgb="FFAECAC4"/>
      </right>
      <top/>
      <bottom style="thin">
        <color indexed="64"/>
      </bottom>
      <diagonal/>
    </border>
    <border>
      <left style="thin">
        <color rgb="FFAECAC4"/>
      </left>
      <right style="thin">
        <color indexed="64"/>
      </right>
      <top style="thin">
        <color indexed="64"/>
      </top>
      <bottom/>
      <diagonal/>
    </border>
    <border>
      <left style="thin">
        <color rgb="FF808080"/>
      </left>
      <right style="thin">
        <color rgb="FF808080"/>
      </right>
      <top style="thin">
        <color rgb="FF808080"/>
      </top>
      <bottom style="thin">
        <color rgb="FF808080"/>
      </bottom>
      <diagonal/>
    </border>
    <border>
      <left style="thin">
        <color rgb="FFAECAC4"/>
      </left>
      <right/>
      <top style="thin">
        <color indexed="64"/>
      </top>
      <bottom style="thin">
        <color indexed="64"/>
      </bottom>
      <diagonal/>
    </border>
    <border>
      <left style="medium">
        <color indexed="64"/>
      </left>
      <right style="thin">
        <color theme="1"/>
      </right>
      <top style="medium">
        <color indexed="64"/>
      </top>
      <bottom style="thin">
        <color theme="1"/>
      </bottom>
      <diagonal/>
    </border>
    <border>
      <left style="thin">
        <color theme="1"/>
      </left>
      <right style="thin">
        <color theme="1"/>
      </right>
      <top style="medium">
        <color indexed="64"/>
      </top>
      <bottom style="thin">
        <color theme="1"/>
      </bottom>
      <diagonal/>
    </border>
    <border>
      <left style="thin">
        <color theme="1"/>
      </left>
      <right style="medium">
        <color indexed="64"/>
      </right>
      <top style="medium">
        <color indexed="64"/>
      </top>
      <bottom style="thin">
        <color theme="1"/>
      </bottom>
      <diagonal/>
    </border>
    <border>
      <left style="medium">
        <color indexed="64"/>
      </left>
      <right style="thin">
        <color theme="1"/>
      </right>
      <top style="thin">
        <color theme="1"/>
      </top>
      <bottom style="thin">
        <color theme="1"/>
      </bottom>
      <diagonal/>
    </border>
    <border>
      <left style="thin">
        <color theme="1"/>
      </left>
      <right style="medium">
        <color indexed="64"/>
      </right>
      <top style="thin">
        <color theme="1"/>
      </top>
      <bottom style="thin">
        <color theme="1"/>
      </bottom>
      <diagonal/>
    </border>
    <border>
      <left style="medium">
        <color indexed="64"/>
      </left>
      <right style="thin">
        <color theme="1"/>
      </right>
      <top style="thin">
        <color theme="1"/>
      </top>
      <bottom style="medium">
        <color indexed="64"/>
      </bottom>
      <diagonal/>
    </border>
    <border>
      <left style="thin">
        <color theme="1"/>
      </left>
      <right style="thin">
        <color theme="1"/>
      </right>
      <top style="thin">
        <color theme="1"/>
      </top>
      <bottom style="medium">
        <color indexed="64"/>
      </bottom>
      <diagonal/>
    </border>
    <border>
      <left style="thin">
        <color theme="1"/>
      </left>
      <right style="medium">
        <color indexed="64"/>
      </right>
      <top style="thin">
        <color theme="1"/>
      </top>
      <bottom style="medium">
        <color indexed="64"/>
      </bottom>
      <diagonal/>
    </border>
    <border>
      <left style="medium">
        <color indexed="64"/>
      </left>
      <right style="thin">
        <color theme="1"/>
      </right>
      <top/>
      <bottom style="thin">
        <color theme="1"/>
      </bottom>
      <diagonal/>
    </border>
    <border>
      <left style="thin">
        <color theme="1"/>
      </left>
      <right style="medium">
        <color indexed="64"/>
      </right>
      <top/>
      <bottom style="thin">
        <color theme="1"/>
      </bottom>
      <diagonal/>
    </border>
    <border>
      <left style="medium">
        <color indexed="64"/>
      </left>
      <right style="thin">
        <color theme="0"/>
      </right>
      <top style="thin">
        <color theme="0"/>
      </top>
      <bottom style="thin">
        <color theme="0"/>
      </bottom>
      <diagonal/>
    </border>
    <border>
      <left style="thin">
        <color theme="0"/>
      </left>
      <right style="medium">
        <color indexed="64"/>
      </right>
      <top style="thin">
        <color theme="0"/>
      </top>
      <bottom style="thin">
        <color theme="0"/>
      </bottom>
      <diagonal/>
    </border>
    <border>
      <left style="thin">
        <color theme="0"/>
      </left>
      <right/>
      <top style="thin">
        <color indexed="64"/>
      </top>
      <bottom style="thin">
        <color theme="0"/>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right style="thin">
        <color indexed="64"/>
      </right>
      <top/>
      <bottom style="medium">
        <color indexed="64"/>
      </bottom>
      <diagonal/>
    </border>
    <border>
      <left/>
      <right style="thin">
        <color rgb="FFAECAC4"/>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top style="thin">
        <color indexed="64"/>
      </top>
      <bottom/>
      <diagonal/>
    </border>
    <border>
      <left style="medium">
        <color auto="1"/>
      </left>
      <right/>
      <top style="thin">
        <color auto="1"/>
      </top>
      <bottom style="medium">
        <color auto="1"/>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style="thin">
        <color indexed="64"/>
      </right>
      <top style="medium">
        <color indexed="64"/>
      </top>
      <bottom/>
      <diagonal/>
    </border>
    <border>
      <left/>
      <right/>
      <top style="medium">
        <color indexed="64"/>
      </top>
      <bottom style="thin">
        <color theme="0"/>
      </bottom>
      <diagonal/>
    </border>
    <border>
      <left/>
      <right/>
      <top style="thin">
        <color theme="0"/>
      </top>
      <bottom style="medium">
        <color indexed="64"/>
      </bottom>
      <diagonal/>
    </border>
    <border>
      <left style="medium">
        <color indexed="64"/>
      </left>
      <right style="thin">
        <color indexed="64"/>
      </right>
      <top/>
      <bottom style="medium">
        <color indexed="64"/>
      </bottom>
      <diagonal/>
    </border>
  </borders>
  <cellStyleXfs count="17">
    <xf numFmtId="0" fontId="0" fillId="0" borderId="0"/>
    <xf numFmtId="0" fontId="4" fillId="0" borderId="0"/>
    <xf numFmtId="0" fontId="7" fillId="0" borderId="0"/>
    <xf numFmtId="38" fontId="8" fillId="0" borderId="0" applyFont="0" applyFill="0" applyBorder="0" applyAlignment="0" applyProtection="0">
      <alignment vertical="center"/>
    </xf>
    <xf numFmtId="9" fontId="8" fillId="0" borderId="0" applyFont="0" applyFill="0" applyBorder="0" applyAlignment="0" applyProtection="0">
      <alignment vertical="center"/>
    </xf>
    <xf numFmtId="0" fontId="4" fillId="0" borderId="0"/>
    <xf numFmtId="9" fontId="9" fillId="0" borderId="0" applyFont="0" applyFill="0" applyBorder="0" applyAlignment="0" applyProtection="0">
      <alignment vertical="center"/>
    </xf>
    <xf numFmtId="0" fontId="8" fillId="0" borderId="0"/>
    <xf numFmtId="0" fontId="8" fillId="0" borderId="0"/>
    <xf numFmtId="0" fontId="9" fillId="0" borderId="0">
      <alignment vertical="center"/>
    </xf>
    <xf numFmtId="0" fontId="10" fillId="0" borderId="0">
      <alignment vertical="center"/>
    </xf>
    <xf numFmtId="9" fontId="9" fillId="0" borderId="0" applyFont="0" applyFill="0" applyBorder="0" applyAlignment="0" applyProtection="0">
      <alignment vertical="center"/>
    </xf>
    <xf numFmtId="0" fontId="9" fillId="0" borderId="0">
      <alignment vertical="center"/>
    </xf>
    <xf numFmtId="0" fontId="4" fillId="0" borderId="0"/>
    <xf numFmtId="0" fontId="4" fillId="0" borderId="0"/>
    <xf numFmtId="0" fontId="18" fillId="0" borderId="0"/>
    <xf numFmtId="9" fontId="8" fillId="0" borderId="0" applyFont="0" applyFill="0" applyBorder="0" applyAlignment="0" applyProtection="0">
      <alignment vertical="center"/>
    </xf>
  </cellStyleXfs>
  <cellXfs count="1025">
    <xf numFmtId="0" fontId="0" fillId="0" borderId="0" xfId="0"/>
    <xf numFmtId="0" fontId="21" fillId="0" borderId="69" xfId="0" applyFont="1" applyBorder="1" applyAlignment="1">
      <alignment wrapText="1"/>
    </xf>
    <xf numFmtId="0" fontId="21" fillId="0" borderId="36" xfId="0" applyFont="1" applyBorder="1" applyAlignment="1">
      <alignment wrapText="1"/>
    </xf>
    <xf numFmtId="0" fontId="21" fillId="0" borderId="36" xfId="0" applyFont="1" applyBorder="1" applyAlignment="1">
      <alignment horizontal="center" wrapText="1"/>
    </xf>
    <xf numFmtId="0" fontId="21" fillId="0" borderId="72" xfId="0" applyFont="1" applyBorder="1" applyAlignment="1">
      <alignment wrapText="1"/>
    </xf>
    <xf numFmtId="0" fontId="21" fillId="0" borderId="73" xfId="0" applyFont="1" applyBorder="1" applyAlignment="1">
      <alignment wrapText="1"/>
    </xf>
    <xf numFmtId="0" fontId="21" fillId="0" borderId="42" xfId="0" applyFont="1" applyBorder="1" applyAlignment="1">
      <alignment wrapText="1"/>
    </xf>
    <xf numFmtId="0" fontId="21" fillId="0" borderId="0" xfId="0" applyFont="1" applyAlignment="1">
      <alignment wrapText="1"/>
    </xf>
    <xf numFmtId="0" fontId="21" fillId="0" borderId="34" xfId="0" applyFont="1" applyBorder="1" applyAlignment="1">
      <alignment wrapText="1"/>
    </xf>
    <xf numFmtId="0" fontId="21" fillId="0" borderId="31" xfId="0" applyFont="1" applyBorder="1" applyAlignment="1">
      <alignment wrapText="1"/>
    </xf>
    <xf numFmtId="0" fontId="21" fillId="0" borderId="31" xfId="0" applyFont="1" applyBorder="1" applyAlignment="1">
      <alignment horizontal="center" wrapText="1"/>
    </xf>
    <xf numFmtId="49" fontId="22" fillId="3" borderId="4" xfId="1" applyNumberFormat="1" applyFont="1" applyFill="1" applyBorder="1" applyAlignment="1">
      <alignment horizontal="center" vertical="center"/>
    </xf>
    <xf numFmtId="0" fontId="21" fillId="0" borderId="76" xfId="0" applyFont="1" applyBorder="1" applyAlignment="1">
      <alignment wrapText="1"/>
    </xf>
    <xf numFmtId="0" fontId="21" fillId="0" borderId="32" xfId="0" applyFont="1" applyBorder="1" applyAlignment="1">
      <alignment wrapText="1"/>
    </xf>
    <xf numFmtId="49" fontId="22" fillId="3" borderId="7" xfId="1" applyNumberFormat="1" applyFont="1" applyFill="1" applyBorder="1" applyAlignment="1">
      <alignment horizontal="center" vertical="center"/>
    </xf>
    <xf numFmtId="0" fontId="23" fillId="4" borderId="8" xfId="1" applyFont="1" applyFill="1" applyBorder="1" applyAlignment="1">
      <alignment horizontal="center" vertical="center"/>
    </xf>
    <xf numFmtId="0" fontId="21" fillId="0" borderId="80" xfId="0" applyFont="1" applyBorder="1" applyAlignment="1">
      <alignment wrapText="1"/>
    </xf>
    <xf numFmtId="0" fontId="21" fillId="0" borderId="70" xfId="0" applyFont="1" applyBorder="1" applyAlignment="1">
      <alignment wrapText="1"/>
    </xf>
    <xf numFmtId="0" fontId="21" fillId="0" borderId="35" xfId="0" applyFont="1" applyBorder="1" applyAlignment="1">
      <alignment wrapText="1"/>
    </xf>
    <xf numFmtId="0" fontId="21" fillId="0" borderId="35" xfId="0" applyFont="1" applyBorder="1" applyAlignment="1">
      <alignment horizontal="center" wrapText="1"/>
    </xf>
    <xf numFmtId="49" fontId="22" fillId="3" borderId="10" xfId="1" applyNumberFormat="1" applyFont="1" applyFill="1" applyBorder="1" applyAlignment="1">
      <alignment horizontal="center" vertical="center"/>
    </xf>
    <xf numFmtId="0" fontId="21" fillId="0" borderId="78" xfId="0" applyFont="1" applyBorder="1" applyAlignment="1">
      <alignment wrapText="1"/>
    </xf>
    <xf numFmtId="0" fontId="21" fillId="0" borderId="41" xfId="0" applyFont="1" applyBorder="1" applyAlignment="1">
      <alignment wrapText="1"/>
    </xf>
    <xf numFmtId="0" fontId="21" fillId="0" borderId="0" xfId="0" applyFont="1" applyAlignment="1">
      <alignment horizontal="center" vertical="center" wrapText="1"/>
    </xf>
    <xf numFmtId="0" fontId="21" fillId="0" borderId="82" xfId="0" applyFont="1" applyBorder="1" applyAlignment="1">
      <alignment wrapText="1"/>
    </xf>
    <xf numFmtId="0" fontId="21" fillId="0" borderId="83" xfId="0" applyFont="1" applyBorder="1" applyAlignment="1">
      <alignment wrapText="1"/>
    </xf>
    <xf numFmtId="0" fontId="21" fillId="0" borderId="83" xfId="0" applyFont="1" applyBorder="1" applyAlignment="1">
      <alignment horizontal="center" wrapText="1"/>
    </xf>
    <xf numFmtId="0" fontId="21" fillId="0" borderId="83" xfId="0" applyFont="1" applyBorder="1" applyAlignment="1">
      <alignment horizontal="center" vertical="center" wrapText="1"/>
    </xf>
    <xf numFmtId="0" fontId="21" fillId="0" borderId="71" xfId="0" applyFont="1" applyBorder="1" applyAlignment="1">
      <alignment wrapText="1"/>
    </xf>
    <xf numFmtId="0" fontId="21" fillId="0" borderId="33" xfId="0" applyFont="1" applyBorder="1" applyAlignment="1">
      <alignment horizontal="center" vertical="center" wrapText="1"/>
    </xf>
    <xf numFmtId="0" fontId="21" fillId="0" borderId="33" xfId="0" applyFont="1" applyBorder="1" applyAlignment="1">
      <alignment wrapText="1"/>
    </xf>
    <xf numFmtId="0" fontId="28" fillId="0" borderId="199" xfId="0" applyFont="1" applyBorder="1" applyAlignment="1">
      <alignment wrapText="1"/>
    </xf>
    <xf numFmtId="0" fontId="21" fillId="0" borderId="0" xfId="0" applyFont="1"/>
    <xf numFmtId="0" fontId="27" fillId="0" borderId="1" xfId="7" applyFont="1" applyBorder="1" applyAlignment="1">
      <alignment horizontal="center" vertical="center" wrapText="1"/>
    </xf>
    <xf numFmtId="0" fontId="27" fillId="0" borderId="1" xfId="7" applyFont="1" applyBorder="1" applyAlignment="1">
      <alignment horizontal="left" vertical="center" wrapText="1"/>
    </xf>
    <xf numFmtId="0" fontId="30" fillId="0" borderId="73" xfId="7" applyFont="1" applyBorder="1" applyAlignment="1">
      <alignment wrapText="1"/>
    </xf>
    <xf numFmtId="0" fontId="30" fillId="0" borderId="73" xfId="7" applyFont="1" applyBorder="1" applyAlignment="1">
      <alignment horizontal="center" wrapText="1"/>
    </xf>
    <xf numFmtId="0" fontId="21" fillId="0" borderId="0" xfId="0" applyFont="1" applyAlignment="1">
      <alignment horizontal="center" wrapText="1"/>
    </xf>
    <xf numFmtId="0" fontId="21" fillId="0" borderId="31" xfId="0" applyFont="1" applyBorder="1"/>
    <xf numFmtId="0" fontId="21" fillId="0" borderId="0" xfId="0" applyFont="1" applyAlignment="1">
      <alignment vertical="center"/>
    </xf>
    <xf numFmtId="0" fontId="23" fillId="4" borderId="9" xfId="1" applyFont="1" applyFill="1" applyBorder="1" applyAlignment="1">
      <alignment horizontal="center" vertical="center"/>
    </xf>
    <xf numFmtId="0" fontId="21" fillId="0" borderId="32" xfId="0" applyFont="1" applyBorder="1"/>
    <xf numFmtId="49" fontId="22" fillId="2" borderId="0" xfId="1" applyNumberFormat="1" applyFont="1" applyFill="1" applyAlignment="1">
      <alignment horizontal="center" vertical="center"/>
    </xf>
    <xf numFmtId="0" fontId="21" fillId="0" borderId="35" xfId="0" applyFont="1" applyBorder="1"/>
    <xf numFmtId="0" fontId="32" fillId="0" borderId="35" xfId="1" applyFont="1" applyBorder="1"/>
    <xf numFmtId="0" fontId="33" fillId="0" borderId="35" xfId="1" applyFont="1" applyBorder="1" applyAlignment="1">
      <alignment horizontal="center" vertical="center" wrapText="1"/>
    </xf>
    <xf numFmtId="0" fontId="34" fillId="0" borderId="35" xfId="1" applyFont="1" applyBorder="1" applyAlignment="1">
      <alignment horizontal="center"/>
    </xf>
    <xf numFmtId="0" fontId="34" fillId="0" borderId="41" xfId="1" applyFont="1" applyBorder="1" applyAlignment="1">
      <alignment horizontal="center"/>
    </xf>
    <xf numFmtId="0" fontId="35" fillId="0" borderId="31" xfId="0" applyFont="1" applyBorder="1"/>
    <xf numFmtId="0" fontId="22" fillId="5" borderId="7" xfId="7" applyFont="1" applyFill="1" applyBorder="1" applyAlignment="1">
      <alignment horizontal="center" vertical="center" wrapText="1"/>
    </xf>
    <xf numFmtId="0" fontId="22" fillId="5" borderId="8" xfId="7" applyFont="1" applyFill="1" applyBorder="1" applyAlignment="1">
      <alignment horizontal="center" vertical="center" wrapText="1"/>
    </xf>
    <xf numFmtId="0" fontId="22" fillId="5" borderId="18" xfId="7" applyFont="1" applyFill="1" applyBorder="1" applyAlignment="1">
      <alignment horizontal="center" vertical="center" wrapText="1"/>
    </xf>
    <xf numFmtId="0" fontId="22" fillId="5" borderId="9" xfId="7" applyFont="1" applyFill="1" applyBorder="1" applyAlignment="1">
      <alignment horizontal="center" vertical="center" wrapText="1"/>
    </xf>
    <xf numFmtId="0" fontId="37" fillId="0" borderId="7" xfId="9" applyFont="1" applyBorder="1">
      <alignment vertical="center"/>
    </xf>
    <xf numFmtId="0" fontId="37" fillId="0" borderId="8" xfId="9" applyFont="1" applyBorder="1" applyAlignment="1">
      <alignment vertical="center" wrapText="1"/>
    </xf>
    <xf numFmtId="0" fontId="28" fillId="7" borderId="199" xfId="0" applyFont="1" applyFill="1" applyBorder="1" applyAlignment="1">
      <alignment wrapText="1"/>
    </xf>
    <xf numFmtId="0" fontId="21" fillId="0" borderId="8" xfId="0" applyFont="1" applyBorder="1" applyAlignment="1">
      <alignment horizontal="center" vertical="center"/>
    </xf>
    <xf numFmtId="0" fontId="37" fillId="0" borderId="8" xfId="9" applyFont="1" applyBorder="1" applyAlignment="1">
      <alignment vertical="top" wrapText="1"/>
    </xf>
    <xf numFmtId="0" fontId="37" fillId="0" borderId="9" xfId="9" applyFont="1" applyBorder="1" applyAlignment="1">
      <alignment vertical="center" wrapText="1"/>
    </xf>
    <xf numFmtId="0" fontId="21" fillId="0" borderId="31" xfId="0" applyFont="1" applyBorder="1" applyAlignment="1">
      <alignment horizontal="center" vertical="center"/>
    </xf>
    <xf numFmtId="0" fontId="21" fillId="0" borderId="42" xfId="0" applyFont="1" applyBorder="1"/>
    <xf numFmtId="0" fontId="21" fillId="0" borderId="33" xfId="0" applyFont="1" applyBorder="1"/>
    <xf numFmtId="0" fontId="21" fillId="0" borderId="36" xfId="0" applyFont="1" applyBorder="1"/>
    <xf numFmtId="0" fontId="21" fillId="0" borderId="74" xfId="0" applyFont="1" applyBorder="1"/>
    <xf numFmtId="0" fontId="21" fillId="0" borderId="74" xfId="0" applyFont="1" applyBorder="1" applyAlignment="1">
      <alignment horizontal="center" vertical="center"/>
    </xf>
    <xf numFmtId="0" fontId="21" fillId="0" borderId="71" xfId="0" applyFont="1" applyBorder="1"/>
    <xf numFmtId="0" fontId="21" fillId="0" borderId="7" xfId="0" applyFont="1" applyBorder="1" applyAlignment="1">
      <alignment vertical="center"/>
    </xf>
    <xf numFmtId="0" fontId="21" fillId="0" borderId="8" xfId="0" applyFont="1" applyBorder="1" applyAlignment="1">
      <alignment vertical="center" wrapText="1"/>
    </xf>
    <xf numFmtId="0" fontId="21" fillId="0" borderId="10" xfId="0" applyFont="1" applyBorder="1" applyAlignment="1">
      <alignment vertical="center"/>
    </xf>
    <xf numFmtId="0" fontId="21" fillId="0" borderId="11" xfId="0" applyFont="1" applyBorder="1" applyAlignment="1">
      <alignment vertical="center" wrapText="1"/>
    </xf>
    <xf numFmtId="0" fontId="21" fillId="0" borderId="11" xfId="0" applyFont="1" applyBorder="1" applyAlignment="1">
      <alignment horizontal="center" vertical="center"/>
    </xf>
    <xf numFmtId="0" fontId="21" fillId="0" borderId="42" xfId="0" applyFont="1" applyBorder="1" applyAlignment="1">
      <alignment horizontal="center" vertical="center"/>
    </xf>
    <xf numFmtId="0" fontId="21" fillId="0" borderId="0" xfId="0" applyFont="1" applyAlignment="1">
      <alignment vertical="center" wrapText="1"/>
    </xf>
    <xf numFmtId="0" fontId="21" fillId="0" borderId="0" xfId="0" applyFont="1" applyAlignment="1">
      <alignment horizontal="center" vertical="center"/>
    </xf>
    <xf numFmtId="0" fontId="21" fillId="0" borderId="34" xfId="0" applyFont="1" applyBorder="1"/>
    <xf numFmtId="0" fontId="21" fillId="0" borderId="70" xfId="0" applyFont="1" applyBorder="1"/>
    <xf numFmtId="49" fontId="25" fillId="0" borderId="0" xfId="0" applyNumberFormat="1" applyFont="1" applyAlignment="1">
      <alignment vertical="center"/>
    </xf>
    <xf numFmtId="0" fontId="21" fillId="0" borderId="83" xfId="0" applyFont="1" applyBorder="1"/>
    <xf numFmtId="0" fontId="21" fillId="0" borderId="99" xfId="0" applyFont="1" applyBorder="1"/>
    <xf numFmtId="0" fontId="26" fillId="2" borderId="33" xfId="0" applyFont="1" applyFill="1" applyBorder="1" applyAlignment="1">
      <alignment vertical="center" wrapText="1"/>
    </xf>
    <xf numFmtId="0" fontId="21" fillId="0" borderId="103" xfId="0" applyFont="1" applyBorder="1"/>
    <xf numFmtId="0" fontId="21" fillId="0" borderId="179" xfId="0" applyFont="1" applyBorder="1"/>
    <xf numFmtId="0" fontId="21" fillId="15" borderId="102" xfId="0" applyFont="1" applyFill="1" applyBorder="1"/>
    <xf numFmtId="0" fontId="21" fillId="0" borderId="104" xfId="0" applyFont="1" applyBorder="1"/>
    <xf numFmtId="0" fontId="21" fillId="0" borderId="105" xfId="0" applyFont="1" applyBorder="1"/>
    <xf numFmtId="164" fontId="39" fillId="0" borderId="102" xfId="4" applyNumberFormat="1" applyFont="1" applyBorder="1" applyAlignment="1">
      <alignment horizontal="right"/>
    </xf>
    <xf numFmtId="165" fontId="39" fillId="0" borderId="102" xfId="0" applyNumberFormat="1" applyFont="1" applyBorder="1"/>
    <xf numFmtId="0" fontId="21" fillId="0" borderId="106" xfId="0" applyFont="1" applyBorder="1"/>
    <xf numFmtId="0" fontId="21" fillId="0" borderId="114" xfId="0" applyFont="1" applyBorder="1"/>
    <xf numFmtId="0" fontId="21" fillId="0" borderId="115" xfId="0" applyFont="1" applyBorder="1"/>
    <xf numFmtId="0" fontId="21" fillId="0" borderId="119" xfId="0" applyFont="1" applyBorder="1"/>
    <xf numFmtId="0" fontId="21" fillId="0" borderId="117" xfId="0" applyFont="1" applyBorder="1"/>
    <xf numFmtId="0" fontId="21" fillId="0" borderId="118" xfId="0" applyFont="1" applyBorder="1"/>
    <xf numFmtId="0" fontId="21" fillId="0" borderId="112" xfId="0" applyFont="1" applyBorder="1"/>
    <xf numFmtId="0" fontId="21" fillId="0" borderId="102" xfId="0" applyFont="1" applyBorder="1"/>
    <xf numFmtId="0" fontId="21" fillId="0" borderId="102" xfId="0" applyFont="1" applyBorder="1" applyAlignment="1">
      <alignment wrapText="1"/>
    </xf>
    <xf numFmtId="0" fontId="21" fillId="0" borderId="102" xfId="0" applyFont="1" applyBorder="1" applyAlignment="1">
      <alignment horizontal="center" vertical="center" wrapText="1"/>
    </xf>
    <xf numFmtId="165" fontId="21" fillId="0" borderId="102" xfId="0" applyNumberFormat="1" applyFont="1" applyBorder="1"/>
    <xf numFmtId="164" fontId="34" fillId="0" borderId="102" xfId="4" applyNumberFormat="1" applyFont="1" applyBorder="1" applyAlignment="1"/>
    <xf numFmtId="165" fontId="32" fillId="0" borderId="102" xfId="0" applyNumberFormat="1" applyFont="1" applyBorder="1"/>
    <xf numFmtId="0" fontId="21" fillId="0" borderId="102" xfId="0" applyFont="1" applyBorder="1" applyAlignment="1">
      <alignment horizontal="center" wrapText="1"/>
    </xf>
    <xf numFmtId="0" fontId="21" fillId="0" borderId="102" xfId="0" applyFont="1" applyBorder="1" applyAlignment="1">
      <alignment horizontal="center"/>
    </xf>
    <xf numFmtId="165" fontId="32" fillId="0" borderId="102" xfId="4" applyNumberFormat="1" applyFont="1" applyBorder="1" applyAlignment="1"/>
    <xf numFmtId="0" fontId="39" fillId="0" borderId="101" xfId="0" applyFont="1" applyBorder="1"/>
    <xf numFmtId="0" fontId="39" fillId="0" borderId="102" xfId="0" applyFont="1" applyBorder="1"/>
    <xf numFmtId="165" fontId="34" fillId="0" borderId="102" xfId="4" applyNumberFormat="1" applyFont="1" applyBorder="1" applyAlignment="1"/>
    <xf numFmtId="0" fontId="21" fillId="0" borderId="116" xfId="0" applyFont="1" applyBorder="1"/>
    <xf numFmtId="166" fontId="21" fillId="0" borderId="117" xfId="0" applyNumberFormat="1" applyFont="1" applyBorder="1"/>
    <xf numFmtId="0" fontId="21" fillId="0" borderId="123" xfId="0" applyFont="1" applyBorder="1"/>
    <xf numFmtId="0" fontId="21" fillId="0" borderId="101" xfId="0" applyFont="1" applyBorder="1"/>
    <xf numFmtId="0" fontId="21" fillId="0" borderId="113" xfId="0" applyFont="1" applyBorder="1"/>
    <xf numFmtId="0" fontId="21" fillId="0" borderId="109" xfId="0" applyFont="1" applyBorder="1" applyAlignment="1">
      <alignment vertical="top" wrapText="1"/>
    </xf>
    <xf numFmtId="0" fontId="21" fillId="0" borderId="112" xfId="0" applyFont="1" applyBorder="1" applyAlignment="1">
      <alignment vertical="top" wrapText="1"/>
    </xf>
    <xf numFmtId="0" fontId="21" fillId="0" borderId="120" xfId="0" applyFont="1" applyBorder="1"/>
    <xf numFmtId="0" fontId="21" fillId="0" borderId="121" xfId="0" applyFont="1" applyBorder="1"/>
    <xf numFmtId="0" fontId="29" fillId="0" borderId="121" xfId="5" applyFont="1" applyBorder="1"/>
    <xf numFmtId="0" fontId="29" fillId="0" borderId="122" xfId="5" applyFont="1" applyBorder="1"/>
    <xf numFmtId="0" fontId="29" fillId="0" borderId="34" xfId="5" applyFont="1" applyBorder="1"/>
    <xf numFmtId="0" fontId="21" fillId="0" borderId="107" xfId="0" applyFont="1" applyBorder="1"/>
    <xf numFmtId="0" fontId="21" fillId="0" borderId="81" xfId="0" applyFont="1" applyBorder="1"/>
    <xf numFmtId="0" fontId="32" fillId="0" borderId="31" xfId="1" applyFont="1" applyBorder="1" applyAlignment="1">
      <alignment horizontal="center"/>
    </xf>
    <xf numFmtId="0" fontId="32" fillId="0" borderId="35" xfId="1" applyFont="1" applyBorder="1" applyAlignment="1">
      <alignment horizontal="center"/>
    </xf>
    <xf numFmtId="0" fontId="32" fillId="0" borderId="34" xfId="1" applyFont="1" applyBorder="1" applyAlignment="1">
      <alignment horizontal="center"/>
    </xf>
    <xf numFmtId="0" fontId="32" fillId="0" borderId="36" xfId="1" applyFont="1" applyBorder="1" applyAlignment="1">
      <alignment horizontal="center"/>
    </xf>
    <xf numFmtId="0" fontId="40" fillId="0" borderId="0" xfId="1" applyFont="1" applyAlignment="1">
      <alignment vertical="center" wrapText="1"/>
    </xf>
    <xf numFmtId="0" fontId="32" fillId="0" borderId="0" xfId="1" applyFont="1"/>
    <xf numFmtId="0" fontId="32" fillId="0" borderId="35" xfId="1" applyFont="1" applyBorder="1" applyAlignment="1">
      <alignment horizontal="center" vertical="center"/>
    </xf>
    <xf numFmtId="0" fontId="32" fillId="0" borderId="41" xfId="1" applyFont="1" applyBorder="1" applyAlignment="1">
      <alignment horizontal="center" vertical="center"/>
    </xf>
    <xf numFmtId="0" fontId="32" fillId="0" borderId="0" xfId="1" applyFont="1" applyAlignment="1">
      <alignment horizontal="center"/>
    </xf>
    <xf numFmtId="49" fontId="41" fillId="3" borderId="0" xfId="1" applyNumberFormat="1" applyFont="1" applyFill="1" applyAlignment="1">
      <alignment vertical="center"/>
    </xf>
    <xf numFmtId="0" fontId="32" fillId="0" borderId="32" xfId="1" applyFont="1" applyBorder="1" applyAlignment="1">
      <alignment horizontal="center"/>
    </xf>
    <xf numFmtId="0" fontId="32" fillId="0" borderId="1" xfId="1" applyFont="1" applyBorder="1" applyAlignment="1">
      <alignment horizontal="center" vertical="center"/>
    </xf>
    <xf numFmtId="0" fontId="32" fillId="0" borderId="1" xfId="0" applyFont="1" applyBorder="1" applyAlignment="1">
      <alignment vertical="center" wrapText="1"/>
    </xf>
    <xf numFmtId="0" fontId="32" fillId="0" borderId="8" xfId="1" applyFont="1" applyBorder="1" applyAlignment="1">
      <alignment horizontal="center"/>
    </xf>
    <xf numFmtId="0" fontId="21" fillId="0" borderId="0" xfId="0" applyFont="1" applyAlignment="1">
      <alignment horizontal="left" vertical="center" wrapText="1"/>
    </xf>
    <xf numFmtId="0" fontId="32" fillId="0" borderId="31" xfId="1" applyFont="1" applyBorder="1" applyAlignment="1">
      <alignment horizontal="center" vertical="center"/>
    </xf>
    <xf numFmtId="0" fontId="32" fillId="0" borderId="32" xfId="1" applyFont="1" applyBorder="1" applyAlignment="1">
      <alignment horizontal="center" vertical="center"/>
    </xf>
    <xf numFmtId="0" fontId="32" fillId="0" borderId="36" xfId="1" applyFont="1" applyBorder="1" applyAlignment="1">
      <alignment horizontal="center" vertical="center"/>
    </xf>
    <xf numFmtId="0" fontId="32" fillId="0" borderId="0" xfId="1" applyFont="1" applyAlignment="1">
      <alignment vertical="center"/>
    </xf>
    <xf numFmtId="0" fontId="32" fillId="0" borderId="0" xfId="1" applyFont="1" applyAlignment="1">
      <alignment horizontal="center" vertical="center"/>
    </xf>
    <xf numFmtId="0" fontId="32" fillId="15" borderId="1" xfId="1" applyFont="1" applyFill="1" applyBorder="1" applyAlignment="1">
      <alignment horizontal="center" vertical="center"/>
    </xf>
    <xf numFmtId="0" fontId="32" fillId="0" borderId="34" xfId="1" applyFont="1" applyBorder="1" applyAlignment="1">
      <alignment horizontal="center" vertical="center"/>
    </xf>
    <xf numFmtId="0" fontId="32" fillId="0" borderId="33" xfId="1" applyFont="1" applyBorder="1" applyAlignment="1">
      <alignment horizontal="center" vertical="center"/>
    </xf>
    <xf numFmtId="0" fontId="21" fillId="0" borderId="0" xfId="0" applyFont="1" applyAlignment="1">
      <alignment horizontal="center" vertical="center" textRotation="90"/>
    </xf>
    <xf numFmtId="0" fontId="35" fillId="0" borderId="1" xfId="0" applyFont="1" applyBorder="1" applyAlignment="1">
      <alignment vertical="center" wrapText="1"/>
    </xf>
    <xf numFmtId="0" fontId="30" fillId="0" borderId="0" xfId="0" applyFont="1" applyAlignment="1">
      <alignment vertical="center"/>
    </xf>
    <xf numFmtId="0" fontId="35" fillId="0" borderId="0" xfId="0" applyFont="1" applyAlignment="1">
      <alignment vertical="center" wrapText="1"/>
    </xf>
    <xf numFmtId="0" fontId="30" fillId="0" borderId="0" xfId="9" applyFont="1">
      <alignment vertical="center"/>
    </xf>
    <xf numFmtId="0" fontId="34" fillId="0" borderId="0" xfId="1" applyFont="1" applyAlignment="1">
      <alignment horizontal="center"/>
    </xf>
    <xf numFmtId="0" fontId="34" fillId="0" borderId="0" xfId="1" applyFont="1"/>
    <xf numFmtId="0" fontId="32" fillId="0" borderId="76" xfId="1" applyFont="1" applyBorder="1" applyAlignment="1">
      <alignment horizontal="center"/>
    </xf>
    <xf numFmtId="49" fontId="45" fillId="5" borderId="5" xfId="1" applyNumberFormat="1" applyFont="1" applyFill="1" applyBorder="1" applyAlignment="1">
      <alignment horizontal="center" vertical="center" wrapText="1"/>
    </xf>
    <xf numFmtId="0" fontId="32" fillId="0" borderId="144" xfId="1" applyFont="1" applyBorder="1" applyAlignment="1">
      <alignment horizontal="center"/>
    </xf>
    <xf numFmtId="0" fontId="32" fillId="0" borderId="166" xfId="1" applyFont="1" applyBorder="1" applyAlignment="1">
      <alignment horizontal="center"/>
    </xf>
    <xf numFmtId="0" fontId="32" fillId="0" borderId="93" xfId="1" applyFont="1" applyBorder="1" applyAlignment="1">
      <alignment horizontal="center"/>
    </xf>
    <xf numFmtId="0" fontId="32" fillId="0" borderId="149" xfId="1" applyFont="1" applyBorder="1" applyAlignment="1">
      <alignment horizontal="center"/>
    </xf>
    <xf numFmtId="0" fontId="30" fillId="0" borderId="72" xfId="9" applyFont="1" applyBorder="1">
      <alignment vertical="center"/>
    </xf>
    <xf numFmtId="0" fontId="30" fillId="0" borderId="73" xfId="9" applyFont="1" applyBorder="1">
      <alignment vertical="center"/>
    </xf>
    <xf numFmtId="0" fontId="30" fillId="0" borderId="74" xfId="9" applyFont="1" applyBorder="1">
      <alignment vertical="center"/>
    </xf>
    <xf numFmtId="0" fontId="29" fillId="4" borderId="31" xfId="5" applyFont="1" applyFill="1" applyBorder="1"/>
    <xf numFmtId="0" fontId="29" fillId="0" borderId="31" xfId="5" applyFont="1" applyBorder="1"/>
    <xf numFmtId="0" fontId="29" fillId="13" borderId="35" xfId="5" applyFont="1" applyFill="1" applyBorder="1"/>
    <xf numFmtId="0" fontId="29" fillId="0" borderId="35" xfId="5" applyFont="1" applyBorder="1"/>
    <xf numFmtId="0" fontId="46" fillId="0" borderId="35" xfId="1" applyFont="1" applyBorder="1" applyAlignment="1">
      <alignment horizontal="center" vertical="center"/>
    </xf>
    <xf numFmtId="0" fontId="46" fillId="0" borderId="1" xfId="0" applyFont="1" applyBorder="1" applyAlignment="1">
      <alignment vertical="center" wrapText="1"/>
    </xf>
    <xf numFmtId="0" fontId="46" fillId="0" borderId="1" xfId="0" applyFont="1" applyBorder="1" applyAlignment="1">
      <alignment vertical="top" wrapText="1"/>
    </xf>
    <xf numFmtId="0" fontId="21" fillId="0" borderId="73" xfId="0" applyFont="1" applyBorder="1"/>
    <xf numFmtId="0" fontId="51" fillId="0" borderId="31" xfId="0" applyFont="1" applyBorder="1"/>
    <xf numFmtId="0" fontId="21" fillId="2" borderId="33" xfId="0" applyFont="1" applyFill="1" applyBorder="1"/>
    <xf numFmtId="0" fontId="21" fillId="0" borderId="84" xfId="0" applyFont="1" applyBorder="1"/>
    <xf numFmtId="0" fontId="21" fillId="0" borderId="155" xfId="0" applyFont="1" applyBorder="1"/>
    <xf numFmtId="49" fontId="52" fillId="0" borderId="154" xfId="1" applyNumberFormat="1" applyFont="1" applyBorder="1" applyAlignment="1">
      <alignment vertical="center" wrapText="1"/>
    </xf>
    <xf numFmtId="49" fontId="52" fillId="0" borderId="84" xfId="1" applyNumberFormat="1" applyFont="1" applyBorder="1" applyAlignment="1">
      <alignment vertical="center" wrapText="1"/>
    </xf>
    <xf numFmtId="0" fontId="21" fillId="0" borderId="142" xfId="0" applyFont="1" applyBorder="1"/>
    <xf numFmtId="0" fontId="21" fillId="0" borderId="80" xfId="0" applyFont="1" applyBorder="1"/>
    <xf numFmtId="0" fontId="21" fillId="0" borderId="144" xfId="0" applyFont="1" applyBorder="1"/>
    <xf numFmtId="0" fontId="35" fillId="0" borderId="35" xfId="0" applyFont="1" applyBorder="1"/>
    <xf numFmtId="0" fontId="21" fillId="0" borderId="100" xfId="0" applyFont="1" applyBorder="1"/>
    <xf numFmtId="2" fontId="21" fillId="0" borderId="31" xfId="0" applyNumberFormat="1" applyFont="1" applyBorder="1"/>
    <xf numFmtId="49" fontId="52" fillId="0" borderId="76" xfId="1" applyNumberFormat="1" applyFont="1" applyBorder="1" applyAlignment="1">
      <alignment vertical="center" wrapText="1"/>
    </xf>
    <xf numFmtId="49" fontId="52" fillId="0" borderId="31" xfId="1" applyNumberFormat="1" applyFont="1" applyBorder="1" applyAlignment="1">
      <alignment vertical="center" wrapText="1"/>
    </xf>
    <xf numFmtId="1" fontId="21" fillId="0" borderId="0" xfId="0" applyNumberFormat="1" applyFont="1"/>
    <xf numFmtId="0" fontId="54" fillId="0" borderId="0" xfId="0" applyFont="1"/>
    <xf numFmtId="0" fontId="21" fillId="0" borderId="154" xfId="0" applyFont="1" applyBorder="1"/>
    <xf numFmtId="0" fontId="21" fillId="0" borderId="75" xfId="0" applyFont="1" applyBorder="1"/>
    <xf numFmtId="0" fontId="21" fillId="0" borderId="151" xfId="0" applyFont="1" applyBorder="1"/>
    <xf numFmtId="0" fontId="21" fillId="0" borderId="77" xfId="0" applyFont="1" applyBorder="1"/>
    <xf numFmtId="0" fontId="21" fillId="0" borderId="152" xfId="0" applyFont="1" applyBorder="1"/>
    <xf numFmtId="0" fontId="21" fillId="0" borderId="33" xfId="0" applyFont="1" applyBorder="1" applyAlignment="1">
      <alignment vertical="center"/>
    </xf>
    <xf numFmtId="0" fontId="21" fillId="4" borderId="8" xfId="0" applyFont="1" applyFill="1" applyBorder="1" applyAlignment="1">
      <alignment horizontal="center" vertical="center"/>
    </xf>
    <xf numFmtId="0" fontId="21" fillId="13" borderId="8" xfId="0" applyFont="1" applyFill="1" applyBorder="1" applyAlignment="1">
      <alignment horizontal="center" vertical="center"/>
    </xf>
    <xf numFmtId="0" fontId="21" fillId="4" borderId="8" xfId="0" applyFont="1" applyFill="1" applyBorder="1" applyAlignment="1">
      <alignment horizontal="center" vertical="center" wrapText="1"/>
    </xf>
    <xf numFmtId="0" fontId="21" fillId="7" borderId="8" xfId="0" applyFont="1" applyFill="1" applyBorder="1" applyAlignment="1">
      <alignment horizontal="center" vertical="center"/>
    </xf>
    <xf numFmtId="0" fontId="21" fillId="0" borderId="156" xfId="0" applyFont="1" applyBorder="1"/>
    <xf numFmtId="2" fontId="21" fillId="0" borderId="0" xfId="0" applyNumberFormat="1" applyFont="1"/>
    <xf numFmtId="0" fontId="21" fillId="0" borderId="8" xfId="0" applyFont="1" applyBorder="1" applyAlignment="1">
      <alignment vertical="center"/>
    </xf>
    <xf numFmtId="165" fontId="21" fillId="0" borderId="8" xfId="0" applyNumberFormat="1" applyFont="1" applyBorder="1" applyAlignment="1">
      <alignment vertical="center"/>
    </xf>
    <xf numFmtId="1" fontId="32" fillId="0" borderId="8" xfId="0" applyNumberFormat="1" applyFont="1" applyBorder="1" applyAlignment="1">
      <alignment vertical="center"/>
    </xf>
    <xf numFmtId="0" fontId="21" fillId="0" borderId="157" xfId="0" applyFont="1" applyBorder="1"/>
    <xf numFmtId="1" fontId="21" fillId="0" borderId="8" xfId="0" applyNumberFormat="1" applyFont="1" applyBorder="1" applyAlignment="1">
      <alignment vertical="center"/>
    </xf>
    <xf numFmtId="0" fontId="21" fillId="0" borderId="40" xfId="0" applyFont="1" applyBorder="1"/>
    <xf numFmtId="0" fontId="21" fillId="0" borderId="158" xfId="0" applyFont="1" applyBorder="1" applyAlignment="1">
      <alignment vertical="center"/>
    </xf>
    <xf numFmtId="2" fontId="21" fillId="0" borderId="167" xfId="0" applyNumberFormat="1" applyFont="1" applyBorder="1"/>
    <xf numFmtId="0" fontId="21" fillId="0" borderId="158" xfId="0" applyFont="1" applyBorder="1"/>
    <xf numFmtId="1" fontId="21" fillId="0" borderId="158" xfId="0" applyNumberFormat="1" applyFont="1" applyBorder="1" applyAlignment="1">
      <alignment vertical="center"/>
    </xf>
    <xf numFmtId="0" fontId="21" fillId="0" borderId="167" xfId="0" applyFont="1" applyBorder="1"/>
    <xf numFmtId="0" fontId="21" fillId="0" borderId="46" xfId="0" applyFont="1" applyBorder="1"/>
    <xf numFmtId="0" fontId="21" fillId="0" borderId="159" xfId="0" applyFont="1" applyBorder="1" applyAlignment="1">
      <alignment vertical="center"/>
    </xf>
    <xf numFmtId="0" fontId="21" fillId="0" borderId="159" xfId="0" applyFont="1" applyBorder="1"/>
    <xf numFmtId="0" fontId="21" fillId="0" borderId="153" xfId="0" applyFont="1" applyBorder="1"/>
    <xf numFmtId="0" fontId="21" fillId="0" borderId="159" xfId="0" applyFont="1" applyBorder="1" applyAlignment="1">
      <alignment vertical="center" wrapText="1"/>
    </xf>
    <xf numFmtId="0" fontId="55" fillId="0" borderId="31" xfId="0" applyFont="1" applyBorder="1"/>
    <xf numFmtId="1" fontId="21" fillId="0" borderId="31" xfId="0" applyNumberFormat="1" applyFont="1" applyBorder="1"/>
    <xf numFmtId="0" fontId="29" fillId="0" borderId="69" xfId="5" applyFont="1" applyBorder="1"/>
    <xf numFmtId="0" fontId="29" fillId="0" borderId="36" xfId="5" applyFont="1" applyBorder="1"/>
    <xf numFmtId="0" fontId="29" fillId="0" borderId="73" xfId="5" applyFont="1" applyBorder="1"/>
    <xf numFmtId="0" fontId="29" fillId="0" borderId="42" xfId="5" applyFont="1" applyBorder="1"/>
    <xf numFmtId="0" fontId="29" fillId="0" borderId="0" xfId="5" applyFont="1"/>
    <xf numFmtId="0" fontId="29" fillId="0" borderId="32" xfId="5" applyFont="1" applyBorder="1"/>
    <xf numFmtId="0" fontId="32" fillId="0" borderId="70" xfId="1" applyFont="1" applyBorder="1"/>
    <xf numFmtId="0" fontId="56" fillId="0" borderId="31" xfId="5" applyFont="1" applyBorder="1"/>
    <xf numFmtId="0" fontId="46" fillId="0" borderId="31" xfId="5" applyFont="1" applyBorder="1" applyAlignment="1">
      <alignment horizontal="center"/>
    </xf>
    <xf numFmtId="0" fontId="32" fillId="0" borderId="31" xfId="5" applyFont="1" applyBorder="1"/>
    <xf numFmtId="0" fontId="29" fillId="9" borderId="132" xfId="5" applyFont="1" applyFill="1" applyBorder="1"/>
    <xf numFmtId="0" fontId="29" fillId="9" borderId="133" xfId="5" applyFont="1" applyFill="1" applyBorder="1"/>
    <xf numFmtId="2" fontId="29" fillId="13" borderId="134" xfId="5" applyNumberFormat="1" applyFont="1" applyFill="1" applyBorder="1"/>
    <xf numFmtId="0" fontId="29" fillId="9" borderId="135" xfId="5" applyFont="1" applyFill="1" applyBorder="1"/>
    <xf numFmtId="0" fontId="29" fillId="9" borderId="100" xfId="5" applyFont="1" applyFill="1" applyBorder="1"/>
    <xf numFmtId="2" fontId="23" fillId="13" borderId="100" xfId="5" applyNumberFormat="1" applyFont="1" applyFill="1" applyBorder="1"/>
    <xf numFmtId="2" fontId="29" fillId="13" borderId="136" xfId="5" applyNumberFormat="1" applyFont="1" applyFill="1" applyBorder="1"/>
    <xf numFmtId="0" fontId="29" fillId="9" borderId="137" xfId="5" applyFont="1" applyFill="1" applyBorder="1"/>
    <xf numFmtId="0" fontId="29" fillId="9" borderId="138" xfId="5" applyFont="1" applyFill="1" applyBorder="1"/>
    <xf numFmtId="2" fontId="23" fillId="13" borderId="138" xfId="5" applyNumberFormat="1" applyFont="1" applyFill="1" applyBorder="1"/>
    <xf numFmtId="2" fontId="29" fillId="13" borderId="139" xfId="5" applyNumberFormat="1" applyFont="1" applyFill="1" applyBorder="1"/>
    <xf numFmtId="0" fontId="29" fillId="0" borderId="70" xfId="5" applyFont="1" applyBorder="1"/>
    <xf numFmtId="0" fontId="29" fillId="0" borderId="41" xfId="5" applyFont="1" applyBorder="1"/>
    <xf numFmtId="0" fontId="29" fillId="0" borderId="33" xfId="5" applyFont="1" applyBorder="1"/>
    <xf numFmtId="0" fontId="29" fillId="10" borderId="140" xfId="5" applyFont="1" applyFill="1" applyBorder="1"/>
    <xf numFmtId="0" fontId="29" fillId="0" borderId="141" xfId="5" applyFont="1" applyBorder="1"/>
    <xf numFmtId="0" fontId="29" fillId="0" borderId="84" xfId="5" applyFont="1" applyBorder="1"/>
    <xf numFmtId="0" fontId="29" fillId="0" borderId="142" xfId="5" applyFont="1" applyBorder="1"/>
    <xf numFmtId="0" fontId="29" fillId="10" borderId="143" xfId="5" applyFont="1" applyFill="1" applyBorder="1"/>
    <xf numFmtId="0" fontId="46" fillId="0" borderId="34" xfId="5" applyFont="1" applyBorder="1"/>
    <xf numFmtId="0" fontId="29" fillId="0" borderId="144" xfId="5" applyFont="1" applyBorder="1"/>
    <xf numFmtId="0" fontId="46" fillId="0" borderId="34" xfId="5" quotePrefix="1" applyFont="1" applyBorder="1"/>
    <xf numFmtId="0" fontId="29" fillId="9" borderId="48" xfId="5" applyFont="1" applyFill="1" applyBorder="1"/>
    <xf numFmtId="0" fontId="29" fillId="4" borderId="49" xfId="5" applyFont="1" applyFill="1" applyBorder="1"/>
    <xf numFmtId="0" fontId="29" fillId="9" borderId="67" xfId="5" applyFont="1" applyFill="1" applyBorder="1"/>
    <xf numFmtId="0" fontId="29" fillId="4" borderId="66" xfId="5" applyFont="1" applyFill="1" applyBorder="1"/>
    <xf numFmtId="0" fontId="29" fillId="9" borderId="50" xfId="5" applyFont="1" applyFill="1" applyBorder="1"/>
    <xf numFmtId="0" fontId="29" fillId="4" borderId="51" xfId="5" applyFont="1" applyFill="1" applyBorder="1"/>
    <xf numFmtId="0" fontId="29" fillId="9" borderId="48" xfId="5" applyFont="1" applyFill="1" applyBorder="1" applyAlignment="1">
      <alignment horizontal="center"/>
    </xf>
    <xf numFmtId="0" fontId="29" fillId="9" borderId="52" xfId="5" applyFont="1" applyFill="1" applyBorder="1" applyAlignment="1">
      <alignment horizontal="center"/>
    </xf>
    <xf numFmtId="0" fontId="29" fillId="4" borderId="53" xfId="5" applyFont="1" applyFill="1" applyBorder="1"/>
    <xf numFmtId="0" fontId="29" fillId="9" borderId="50" xfId="5" applyFont="1" applyFill="1" applyBorder="1" applyAlignment="1">
      <alignment horizontal="center"/>
    </xf>
    <xf numFmtId="0" fontId="29" fillId="13" borderId="51" xfId="5" applyFont="1" applyFill="1" applyBorder="1"/>
    <xf numFmtId="0" fontId="29" fillId="0" borderId="73" xfId="5" applyFont="1" applyBorder="1" applyAlignment="1">
      <alignment horizontal="center"/>
    </xf>
    <xf numFmtId="0" fontId="29" fillId="9" borderId="164" xfId="5" applyFont="1" applyFill="1" applyBorder="1"/>
    <xf numFmtId="0" fontId="29" fillId="0" borderId="33" xfId="5" applyFont="1" applyBorder="1" applyAlignment="1">
      <alignment vertical="center"/>
    </xf>
    <xf numFmtId="0" fontId="29" fillId="10" borderId="143" xfId="5" applyFont="1" applyFill="1" applyBorder="1" applyAlignment="1">
      <alignment vertical="center"/>
    </xf>
    <xf numFmtId="0" fontId="47" fillId="0" borderId="34" xfId="5" applyFont="1" applyBorder="1" applyAlignment="1">
      <alignment vertical="center"/>
    </xf>
    <xf numFmtId="0" fontId="29" fillId="0" borderId="31" xfId="5" applyFont="1" applyBorder="1" applyAlignment="1">
      <alignment vertical="center"/>
    </xf>
    <xf numFmtId="0" fontId="29" fillId="0" borderId="35" xfId="5" applyFont="1" applyBorder="1" applyAlignment="1">
      <alignment vertical="center"/>
    </xf>
    <xf numFmtId="0" fontId="29" fillId="0" borderId="144" xfId="5" applyFont="1" applyBorder="1" applyAlignment="1">
      <alignment vertical="center"/>
    </xf>
    <xf numFmtId="0" fontId="29" fillId="0" borderId="0" xfId="5" applyFont="1" applyAlignment="1">
      <alignment vertical="center"/>
    </xf>
    <xf numFmtId="0" fontId="46" fillId="0" borderId="34" xfId="5" quotePrefix="1" applyFont="1" applyBorder="1" applyAlignment="1">
      <alignment vertical="center"/>
    </xf>
    <xf numFmtId="0" fontId="29" fillId="0" borderId="32" xfId="5" applyFont="1" applyBorder="1" applyAlignment="1">
      <alignment vertical="center"/>
    </xf>
    <xf numFmtId="0" fontId="29" fillId="0" borderId="34" xfId="5" applyFont="1" applyBorder="1" applyAlignment="1">
      <alignment vertical="center"/>
    </xf>
    <xf numFmtId="0" fontId="29" fillId="13" borderId="54" xfId="5" applyFont="1" applyFill="1" applyBorder="1" applyAlignment="1">
      <alignment horizontal="right" vertical="center"/>
    </xf>
    <xf numFmtId="0" fontId="29" fillId="0" borderId="32" xfId="5" quotePrefix="1" applyFont="1" applyBorder="1" applyAlignment="1">
      <alignment horizontal="right" vertical="center"/>
    </xf>
    <xf numFmtId="0" fontId="29" fillId="0" borderId="32" xfId="5" applyFont="1" applyBorder="1" applyAlignment="1">
      <alignment horizontal="center" vertical="center"/>
    </xf>
    <xf numFmtId="0" fontId="23" fillId="0" borderId="32" xfId="5" quotePrefix="1" applyFont="1" applyBorder="1" applyAlignment="1">
      <alignment horizontal="center" vertical="center"/>
    </xf>
    <xf numFmtId="0" fontId="29" fillId="9" borderId="48" xfId="5" applyFont="1" applyFill="1" applyBorder="1" applyAlignment="1">
      <alignment horizontal="center" vertical="center"/>
    </xf>
    <xf numFmtId="0" fontId="29" fillId="4" borderId="49" xfId="5" applyFont="1" applyFill="1" applyBorder="1" applyAlignment="1">
      <alignment horizontal="right" vertical="center"/>
    </xf>
    <xf numFmtId="0" fontId="29" fillId="0" borderId="34" xfId="5" applyFont="1" applyBorder="1" applyAlignment="1">
      <alignment horizontal="center" vertical="center"/>
    </xf>
    <xf numFmtId="0" fontId="29" fillId="9" borderId="50" xfId="5" applyFont="1" applyFill="1" applyBorder="1" applyAlignment="1">
      <alignment horizontal="center" vertical="center"/>
    </xf>
    <xf numFmtId="38" fontId="29" fillId="13" borderId="51" xfId="3" applyFont="1" applyFill="1" applyBorder="1" applyAlignment="1">
      <alignment horizontal="right" vertical="center"/>
    </xf>
    <xf numFmtId="0" fontId="29" fillId="9" borderId="52" xfId="5" applyFont="1" applyFill="1" applyBorder="1" applyAlignment="1">
      <alignment horizontal="center" vertical="center"/>
    </xf>
    <xf numFmtId="0" fontId="29" fillId="4" borderId="53" xfId="5" applyFont="1" applyFill="1" applyBorder="1" applyAlignment="1">
      <alignment horizontal="right" vertical="center"/>
    </xf>
    <xf numFmtId="0" fontId="29" fillId="13" borderId="51" xfId="5" applyFont="1" applyFill="1" applyBorder="1" applyAlignment="1">
      <alignment horizontal="right" vertical="center"/>
    </xf>
    <xf numFmtId="0" fontId="39" fillId="9" borderId="48" xfId="7" applyFont="1" applyFill="1" applyBorder="1" applyAlignment="1">
      <alignment horizontal="center" vertical="center"/>
    </xf>
    <xf numFmtId="0" fontId="39" fillId="9" borderId="56" xfId="7" applyFont="1" applyFill="1" applyBorder="1" applyAlignment="1">
      <alignment horizontal="center" vertical="center"/>
    </xf>
    <xf numFmtId="0" fontId="39" fillId="9" borderId="49" xfId="7" applyFont="1" applyFill="1" applyBorder="1" applyAlignment="1">
      <alignment horizontal="center" vertical="center"/>
    </xf>
    <xf numFmtId="0" fontId="23" fillId="9" borderId="48" xfId="5" applyFont="1" applyFill="1" applyBorder="1" applyAlignment="1">
      <alignment horizontal="center" vertical="center"/>
    </xf>
    <xf numFmtId="0" fontId="23" fillId="9" borderId="56" xfId="5" applyFont="1" applyFill="1" applyBorder="1" applyAlignment="1">
      <alignment horizontal="center" vertical="center"/>
    </xf>
    <xf numFmtId="0" fontId="57" fillId="9" borderId="49" xfId="7" applyFont="1" applyFill="1" applyBorder="1" applyAlignment="1">
      <alignment horizontal="center" vertical="center" wrapText="1"/>
    </xf>
    <xf numFmtId="0" fontId="29" fillId="4" borderId="1" xfId="5" applyFont="1" applyFill="1" applyBorder="1" applyAlignment="1">
      <alignment horizontal="center"/>
    </xf>
    <xf numFmtId="0" fontId="29" fillId="4" borderId="1" xfId="5" applyFont="1" applyFill="1" applyBorder="1" applyAlignment="1">
      <alignment horizontal="right"/>
    </xf>
    <xf numFmtId="164" fontId="21" fillId="13" borderId="53" xfId="6" applyNumberFormat="1" applyFont="1" applyFill="1" applyBorder="1" applyAlignment="1">
      <alignment horizontal="right" vertical="center"/>
    </xf>
    <xf numFmtId="0" fontId="28" fillId="9" borderId="52" xfId="7" applyFont="1" applyFill="1" applyBorder="1" applyAlignment="1">
      <alignment horizontal="center" vertical="center" wrapText="1"/>
    </xf>
    <xf numFmtId="0" fontId="28" fillId="13" borderId="1" xfId="7" applyFont="1" applyFill="1" applyBorder="1" applyAlignment="1">
      <alignment horizontal="center" vertical="center" wrapText="1"/>
    </xf>
    <xf numFmtId="0" fontId="28" fillId="13" borderId="53" xfId="7" applyFont="1" applyFill="1" applyBorder="1" applyAlignment="1">
      <alignment horizontal="right" vertical="center" wrapText="1"/>
    </xf>
    <xf numFmtId="0" fontId="21" fillId="13" borderId="1" xfId="7" applyFont="1" applyFill="1" applyBorder="1" applyAlignment="1">
      <alignment horizontal="right" vertical="center"/>
    </xf>
    <xf numFmtId="0" fontId="28" fillId="13" borderId="51" xfId="7" applyFont="1" applyFill="1" applyBorder="1" applyAlignment="1">
      <alignment horizontal="right" vertical="center" wrapText="1"/>
    </xf>
    <xf numFmtId="167" fontId="29" fillId="13" borderId="53" xfId="5" applyNumberFormat="1" applyFont="1" applyFill="1" applyBorder="1"/>
    <xf numFmtId="0" fontId="46" fillId="9" borderId="52" xfId="5" applyFont="1" applyFill="1" applyBorder="1" applyAlignment="1">
      <alignment horizontal="center" vertical="center"/>
    </xf>
    <xf numFmtId="0" fontId="29" fillId="13" borderId="53" xfId="5" applyFont="1" applyFill="1" applyBorder="1"/>
    <xf numFmtId="0" fontId="29" fillId="0" borderId="36" xfId="5" applyFont="1" applyBorder="1" applyAlignment="1">
      <alignment horizontal="center" vertical="center"/>
    </xf>
    <xf numFmtId="0" fontId="46" fillId="9" borderId="50" xfId="5" applyFont="1" applyFill="1" applyBorder="1" applyAlignment="1">
      <alignment horizontal="center" vertical="center"/>
    </xf>
    <xf numFmtId="0" fontId="29" fillId="0" borderId="31" xfId="5" applyFont="1" applyBorder="1" applyAlignment="1">
      <alignment horizontal="center" vertical="center"/>
    </xf>
    <xf numFmtId="0" fontId="29" fillId="9" borderId="60" xfId="5" applyFont="1" applyFill="1" applyBorder="1" applyAlignment="1">
      <alignment vertical="center"/>
    </xf>
    <xf numFmtId="0" fontId="29" fillId="13" borderId="61" xfId="5" applyFont="1" applyFill="1" applyBorder="1" applyAlignment="1">
      <alignment vertical="center"/>
    </xf>
    <xf numFmtId="0" fontId="29" fillId="0" borderId="35" xfId="5" applyFont="1" applyBorder="1" applyAlignment="1">
      <alignment horizontal="center" vertical="center"/>
    </xf>
    <xf numFmtId="0" fontId="61" fillId="10" borderId="143" xfId="5" applyFont="1" applyFill="1" applyBorder="1"/>
    <xf numFmtId="0" fontId="62" fillId="10" borderId="131" xfId="5" applyFont="1" applyFill="1" applyBorder="1" applyAlignment="1">
      <alignment vertical="center"/>
    </xf>
    <xf numFmtId="0" fontId="61" fillId="10" borderId="131" xfId="5" applyFont="1" applyFill="1" applyBorder="1" applyAlignment="1">
      <alignment horizontal="center" vertical="center"/>
    </xf>
    <xf numFmtId="2" fontId="63" fillId="10" borderId="131" xfId="5" applyNumberFormat="1" applyFont="1" applyFill="1" applyBorder="1" applyAlignment="1">
      <alignment horizontal="center" vertical="center"/>
    </xf>
    <xf numFmtId="0" fontId="29" fillId="0" borderId="75" xfId="5" applyFont="1" applyBorder="1"/>
    <xf numFmtId="0" fontId="29" fillId="0" borderId="76" xfId="5" applyFont="1" applyBorder="1"/>
    <xf numFmtId="0" fontId="29" fillId="11" borderId="77" xfId="5" applyFont="1" applyFill="1" applyBorder="1"/>
    <xf numFmtId="0" fontId="29" fillId="11" borderId="145" xfId="5" applyFont="1" applyFill="1" applyBorder="1"/>
    <xf numFmtId="0" fontId="61" fillId="9" borderId="48" xfId="5" applyFont="1" applyFill="1" applyBorder="1" applyAlignment="1">
      <alignment horizontal="center" vertical="center"/>
    </xf>
    <xf numFmtId="0" fontId="29" fillId="4" borderId="49" xfId="5" applyFont="1" applyFill="1" applyBorder="1" applyAlignment="1">
      <alignment horizontal="center" vertical="center"/>
    </xf>
    <xf numFmtId="0" fontId="61" fillId="9" borderId="52" xfId="5" applyFont="1" applyFill="1" applyBorder="1" applyAlignment="1">
      <alignment horizontal="center" vertical="center"/>
    </xf>
    <xf numFmtId="0" fontId="29" fillId="4" borderId="53" xfId="5" applyFont="1" applyFill="1" applyBorder="1" applyAlignment="1">
      <alignment horizontal="center" vertical="center"/>
    </xf>
    <xf numFmtId="165" fontId="32" fillId="13" borderId="53" xfId="5" applyNumberFormat="1" applyFont="1" applyFill="1" applyBorder="1" applyAlignment="1">
      <alignment horizontal="center" vertical="center"/>
    </xf>
    <xf numFmtId="168" fontId="34" fillId="13" borderId="51" xfId="5" applyNumberFormat="1" applyFont="1" applyFill="1" applyBorder="1" applyAlignment="1">
      <alignment horizontal="center" vertical="center"/>
    </xf>
    <xf numFmtId="0" fontId="29" fillId="0" borderId="34" xfId="5" applyFont="1" applyBorder="1" applyAlignment="1">
      <alignment horizontal="right"/>
    </xf>
    <xf numFmtId="0" fontId="46" fillId="9" borderId="48" xfId="5" applyFont="1" applyFill="1" applyBorder="1" applyAlignment="1">
      <alignment horizontal="center" vertical="center"/>
    </xf>
    <xf numFmtId="0" fontId="29" fillId="13" borderId="49" xfId="5" applyFont="1" applyFill="1" applyBorder="1"/>
    <xf numFmtId="2" fontId="29" fillId="13" borderId="53" xfId="5" applyNumberFormat="1" applyFont="1" applyFill="1" applyBorder="1"/>
    <xf numFmtId="0" fontId="21" fillId="9" borderId="52" xfId="5" applyFont="1" applyFill="1" applyBorder="1" applyAlignment="1">
      <alignment horizontal="center"/>
    </xf>
    <xf numFmtId="169" fontId="29" fillId="13" borderId="53" xfId="5" applyNumberFormat="1" applyFont="1" applyFill="1" applyBorder="1"/>
    <xf numFmtId="2" fontId="29" fillId="13" borderId="51" xfId="5" applyNumberFormat="1" applyFont="1" applyFill="1" applyBorder="1"/>
    <xf numFmtId="2" fontId="29" fillId="13" borderId="49" xfId="5" applyNumberFormat="1" applyFont="1" applyFill="1" applyBorder="1"/>
    <xf numFmtId="0" fontId="46" fillId="9" borderId="50" xfId="5" applyFont="1" applyFill="1" applyBorder="1" applyAlignment="1">
      <alignment horizontal="center"/>
    </xf>
    <xf numFmtId="2" fontId="46" fillId="13" borderId="51" xfId="5" applyNumberFormat="1" applyFont="1" applyFill="1" applyBorder="1"/>
    <xf numFmtId="0" fontId="46" fillId="9" borderId="60" xfId="5" applyFont="1" applyFill="1" applyBorder="1" applyAlignment="1">
      <alignment horizontal="center"/>
    </xf>
    <xf numFmtId="0" fontId="29" fillId="4" borderId="61" xfId="5" applyFont="1" applyFill="1" applyBorder="1"/>
    <xf numFmtId="0" fontId="61" fillId="11" borderId="79" xfId="5" applyFont="1" applyFill="1" applyBorder="1"/>
    <xf numFmtId="0" fontId="62" fillId="11" borderId="129" xfId="5" applyFont="1" applyFill="1" applyBorder="1" applyAlignment="1">
      <alignment vertical="center"/>
    </xf>
    <xf numFmtId="0" fontId="61" fillId="11" borderId="129" xfId="5" applyFont="1" applyFill="1" applyBorder="1" applyAlignment="1">
      <alignment horizontal="center" vertical="center"/>
    </xf>
    <xf numFmtId="2" fontId="63" fillId="11" borderId="129" xfId="5" applyNumberFormat="1" applyFont="1" applyFill="1" applyBorder="1" applyAlignment="1">
      <alignment horizontal="right" vertical="center"/>
    </xf>
    <xf numFmtId="2" fontId="63" fillId="11" borderId="130" xfId="5" applyNumberFormat="1" applyFont="1" applyFill="1" applyBorder="1" applyAlignment="1">
      <alignment horizontal="center" vertical="center"/>
    </xf>
    <xf numFmtId="0" fontId="29" fillId="0" borderId="81" xfId="5" applyFont="1" applyBorder="1"/>
    <xf numFmtId="0" fontId="26" fillId="12" borderId="146" xfId="5" applyFont="1" applyFill="1" applyBorder="1" applyAlignment="1">
      <alignment vertical="center"/>
    </xf>
    <xf numFmtId="0" fontId="26" fillId="12" borderId="147" xfId="5" applyFont="1" applyFill="1" applyBorder="1" applyAlignment="1">
      <alignment horizontal="center" vertical="center"/>
    </xf>
    <xf numFmtId="2" fontId="26" fillId="12" borderId="147" xfId="5" applyNumberFormat="1" applyFont="1" applyFill="1" applyBorder="1" applyAlignment="1">
      <alignment horizontal="right" vertical="center"/>
    </xf>
    <xf numFmtId="2" fontId="26" fillId="12" borderId="148" xfId="5" applyNumberFormat="1" applyFont="1" applyFill="1" applyBorder="1" applyAlignment="1">
      <alignment horizontal="center" vertical="center"/>
    </xf>
    <xf numFmtId="0" fontId="29" fillId="0" borderId="93" xfId="5" applyFont="1" applyBorder="1"/>
    <xf numFmtId="0" fontId="29" fillId="0" borderId="149" xfId="5" applyFont="1" applyBorder="1"/>
    <xf numFmtId="0" fontId="33" fillId="0" borderId="0" xfId="1" applyFont="1" applyAlignment="1">
      <alignment horizontal="center" vertical="center" wrapText="1"/>
    </xf>
    <xf numFmtId="0" fontId="29" fillId="0" borderId="0" xfId="1" applyFont="1"/>
    <xf numFmtId="0" fontId="26" fillId="3" borderId="160" xfId="1" applyFont="1" applyFill="1" applyBorder="1" applyAlignment="1">
      <alignment horizontal="center" vertical="center" wrapText="1"/>
    </xf>
    <xf numFmtId="0" fontId="26" fillId="3" borderId="88" xfId="1" applyFont="1" applyFill="1" applyBorder="1" applyAlignment="1">
      <alignment horizontal="center" vertical="center" wrapText="1"/>
    </xf>
    <xf numFmtId="49" fontId="52" fillId="5" borderId="7" xfId="1" applyNumberFormat="1" applyFont="1" applyFill="1" applyBorder="1" applyAlignment="1">
      <alignment horizontal="center" vertical="center" wrapText="1"/>
    </xf>
    <xf numFmtId="49" fontId="52" fillId="5" borderId="27" xfId="1" applyNumberFormat="1" applyFont="1" applyFill="1" applyBorder="1" applyAlignment="1">
      <alignment horizontal="center" vertical="center" wrapText="1"/>
    </xf>
    <xf numFmtId="0" fontId="29" fillId="0" borderId="0" xfId="1" applyFont="1" applyAlignment="1">
      <alignment horizontal="center" vertical="center"/>
    </xf>
    <xf numFmtId="0" fontId="21" fillId="2" borderId="71" xfId="0" applyFont="1" applyFill="1" applyBorder="1"/>
    <xf numFmtId="0" fontId="35" fillId="0" borderId="0" xfId="0" applyFont="1"/>
    <xf numFmtId="1" fontId="54" fillId="0" borderId="0" xfId="0" applyNumberFormat="1" applyFont="1"/>
    <xf numFmtId="49" fontId="52" fillId="0" borderId="1" xfId="1" applyNumberFormat="1" applyFont="1" applyBorder="1" applyAlignment="1">
      <alignment vertical="center" wrapText="1"/>
    </xf>
    <xf numFmtId="0" fontId="21" fillId="0" borderId="62" xfId="0" applyFont="1" applyBorder="1" applyAlignment="1">
      <alignment horizontal="right"/>
    </xf>
    <xf numFmtId="0" fontId="21" fillId="0" borderId="1" xfId="0" applyFont="1" applyBorder="1" applyAlignment="1">
      <alignment horizontal="right"/>
    </xf>
    <xf numFmtId="0" fontId="42" fillId="2" borderId="0" xfId="1" applyFont="1" applyFill="1"/>
    <xf numFmtId="49" fontId="34" fillId="0" borderId="0" xfId="1" applyNumberFormat="1" applyFont="1" applyAlignment="1">
      <alignment horizontal="center"/>
    </xf>
    <xf numFmtId="0" fontId="23" fillId="0" borderId="0" xfId="1" applyFont="1" applyAlignment="1">
      <alignment horizontal="right"/>
    </xf>
    <xf numFmtId="0" fontId="73" fillId="0" borderId="0" xfId="1" applyFont="1" applyAlignment="1">
      <alignment horizontal="center"/>
    </xf>
    <xf numFmtId="0" fontId="47" fillId="2" borderId="8" xfId="1" applyFont="1" applyFill="1" applyBorder="1" applyAlignment="1">
      <alignment horizontal="center" vertical="center"/>
    </xf>
    <xf numFmtId="0" fontId="47" fillId="2" borderId="11" xfId="1" applyFont="1" applyFill="1" applyBorder="1" applyAlignment="1">
      <alignment horizontal="center" vertical="center"/>
    </xf>
    <xf numFmtId="0" fontId="29" fillId="2" borderId="0" xfId="1" applyFont="1" applyFill="1"/>
    <xf numFmtId="15" fontId="74" fillId="2" borderId="0" xfId="1" applyNumberFormat="1" applyFont="1" applyFill="1" applyAlignment="1">
      <alignment horizontal="center" vertical="center" wrapText="1"/>
    </xf>
    <xf numFmtId="0" fontId="75" fillId="2" borderId="0" xfId="1" applyFont="1" applyFill="1" applyAlignment="1">
      <alignment horizontal="center" vertical="center" wrapText="1"/>
    </xf>
    <xf numFmtId="0" fontId="46" fillId="2" borderId="0" xfId="1" applyFont="1" applyFill="1"/>
    <xf numFmtId="0" fontId="46" fillId="2" borderId="0" xfId="1" applyFont="1" applyFill="1" applyAlignment="1">
      <alignment horizontal="left"/>
    </xf>
    <xf numFmtId="0" fontId="26" fillId="3" borderId="5" xfId="1" applyFont="1" applyFill="1" applyBorder="1" applyAlignment="1">
      <alignment horizontal="center" vertical="center" wrapText="1"/>
    </xf>
    <xf numFmtId="0" fontId="26" fillId="3" borderId="6" xfId="1" applyFont="1" applyFill="1" applyBorder="1" applyAlignment="1">
      <alignment horizontal="center" vertical="center" wrapText="1"/>
    </xf>
    <xf numFmtId="0" fontId="47" fillId="2" borderId="9" xfId="1" applyFont="1" applyFill="1" applyBorder="1" applyAlignment="1">
      <alignment horizontal="center" vertical="center" wrapText="1"/>
    </xf>
    <xf numFmtId="14" fontId="47" fillId="2" borderId="9" xfId="1" applyNumberFormat="1" applyFont="1" applyFill="1" applyBorder="1" applyAlignment="1">
      <alignment horizontal="center" vertical="center" wrapText="1"/>
    </xf>
    <xf numFmtId="0" fontId="77" fillId="2" borderId="9" xfId="1" applyFont="1" applyFill="1" applyBorder="1" applyAlignment="1">
      <alignment horizontal="center" vertical="center" wrapText="1"/>
    </xf>
    <xf numFmtId="14" fontId="77" fillId="2" borderId="9" xfId="1" applyNumberFormat="1" applyFont="1" applyFill="1" applyBorder="1" applyAlignment="1">
      <alignment horizontal="center" vertical="center" wrapText="1"/>
    </xf>
    <xf numFmtId="0" fontId="77" fillId="2" borderId="187" xfId="1" applyFont="1" applyFill="1" applyBorder="1" applyAlignment="1">
      <alignment horizontal="center" vertical="center" wrapText="1"/>
    </xf>
    <xf numFmtId="0" fontId="77" fillId="2" borderId="12" xfId="1" applyFont="1" applyFill="1" applyBorder="1" applyAlignment="1">
      <alignment horizontal="center" vertical="center" wrapText="1"/>
    </xf>
    <xf numFmtId="0" fontId="78" fillId="2" borderId="0" xfId="1" applyFont="1" applyFill="1" applyAlignment="1">
      <alignment vertical="center"/>
    </xf>
    <xf numFmtId="0" fontId="78" fillId="2" borderId="0" xfId="1" applyFont="1" applyFill="1" applyAlignment="1">
      <alignment vertical="center" wrapText="1"/>
    </xf>
    <xf numFmtId="0" fontId="79" fillId="2" borderId="0" xfId="1" applyFont="1" applyFill="1" applyAlignment="1">
      <alignment horizontal="center" vertical="center" wrapText="1"/>
    </xf>
    <xf numFmtId="0" fontId="78" fillId="2" borderId="0" xfId="1" applyFont="1" applyFill="1" applyAlignment="1">
      <alignment horizontal="left" vertical="center" wrapText="1"/>
    </xf>
    <xf numFmtId="0" fontId="79" fillId="2" borderId="0" xfId="1" applyFont="1" applyFill="1" applyAlignment="1">
      <alignment horizontal="left" vertical="center"/>
    </xf>
    <xf numFmtId="0" fontId="50" fillId="2" borderId="0" xfId="1" applyFont="1" applyFill="1" applyAlignment="1">
      <alignment vertical="center"/>
    </xf>
    <xf numFmtId="0" fontId="50" fillId="2" borderId="0" xfId="1" applyFont="1" applyFill="1" applyAlignment="1">
      <alignment vertical="center" wrapText="1"/>
    </xf>
    <xf numFmtId="0" fontId="50" fillId="2" borderId="0" xfId="1" applyFont="1" applyFill="1" applyAlignment="1">
      <alignment horizontal="left" vertical="center" wrapText="1"/>
    </xf>
    <xf numFmtId="0" fontId="26" fillId="3" borderId="158" xfId="1" applyFont="1" applyFill="1" applyBorder="1" applyAlignment="1">
      <alignment horizontal="center" vertical="center" wrapText="1"/>
    </xf>
    <xf numFmtId="0" fontId="26" fillId="3" borderId="198" xfId="1" applyFont="1" applyFill="1" applyBorder="1" applyAlignment="1">
      <alignment horizontal="center" vertical="center" wrapText="1"/>
    </xf>
    <xf numFmtId="0" fontId="80" fillId="2" borderId="0" xfId="1" applyFont="1" applyFill="1" applyAlignment="1">
      <alignment horizontal="left" vertical="center" wrapText="1"/>
    </xf>
    <xf numFmtId="0" fontId="48" fillId="0" borderId="199" xfId="0" applyFont="1" applyBorder="1" applyAlignment="1">
      <alignment wrapText="1"/>
    </xf>
    <xf numFmtId="0" fontId="29" fillId="2" borderId="1" xfId="1" applyFont="1" applyFill="1" applyBorder="1" applyAlignment="1">
      <alignment horizontal="left" vertical="center" wrapText="1"/>
    </xf>
    <xf numFmtId="0" fontId="29" fillId="2" borderId="1" xfId="1" applyFont="1" applyFill="1" applyBorder="1" applyAlignment="1">
      <alignment horizontal="center" vertical="center" wrapText="1"/>
    </xf>
    <xf numFmtId="0" fontId="81" fillId="2" borderId="1" xfId="1" applyFont="1" applyFill="1" applyBorder="1" applyAlignment="1">
      <alignment horizontal="left" vertical="center" wrapText="1"/>
    </xf>
    <xf numFmtId="14" fontId="29" fillId="2" borderId="1" xfId="1" applyNumberFormat="1" applyFont="1" applyFill="1" applyBorder="1" applyAlignment="1">
      <alignment horizontal="center" vertical="center" wrapText="1"/>
    </xf>
    <xf numFmtId="0" fontId="21" fillId="0" borderId="202" xfId="0" applyFont="1" applyBorder="1"/>
    <xf numFmtId="2" fontId="21" fillId="13" borderId="203" xfId="0" applyNumberFormat="1" applyFont="1" applyFill="1" applyBorder="1"/>
    <xf numFmtId="0" fontId="32" fillId="13" borderId="208" xfId="0" applyFont="1" applyFill="1" applyBorder="1"/>
    <xf numFmtId="49" fontId="52" fillId="0" borderId="36" xfId="1" applyNumberFormat="1" applyFont="1" applyBorder="1" applyAlignment="1">
      <alignment vertical="center" wrapText="1"/>
    </xf>
    <xf numFmtId="0" fontId="53" fillId="6" borderId="165" xfId="0" applyFont="1" applyFill="1" applyBorder="1" applyAlignment="1">
      <alignment horizontal="left" vertical="center"/>
    </xf>
    <xf numFmtId="0" fontId="53" fillId="6" borderId="165" xfId="0" applyFont="1" applyFill="1" applyBorder="1" applyAlignment="1">
      <alignment horizontal="left" vertical="center" wrapText="1"/>
    </xf>
    <xf numFmtId="0" fontId="53" fillId="6" borderId="49" xfId="0" applyFont="1" applyFill="1" applyBorder="1" applyAlignment="1">
      <alignment vertical="center"/>
    </xf>
    <xf numFmtId="2" fontId="21" fillId="13" borderId="194" xfId="0" applyNumberFormat="1" applyFont="1" applyFill="1" applyBorder="1" applyAlignment="1">
      <alignment horizontal="center"/>
    </xf>
    <xf numFmtId="165" fontId="21" fillId="13" borderId="210" xfId="0" applyNumberFormat="1" applyFont="1" applyFill="1" applyBorder="1" applyAlignment="1">
      <alignment horizontal="center"/>
    </xf>
    <xf numFmtId="0" fontId="21" fillId="0" borderId="31" xfId="0" applyFont="1" applyBorder="1" applyAlignment="1">
      <alignment horizontal="center"/>
    </xf>
    <xf numFmtId="0" fontId="21" fillId="0" borderId="211" xfId="0" applyFont="1" applyBorder="1"/>
    <xf numFmtId="0" fontId="21" fillId="0" borderId="212" xfId="0" applyFont="1" applyBorder="1" applyAlignment="1">
      <alignment horizontal="center"/>
    </xf>
    <xf numFmtId="173" fontId="29" fillId="13" borderId="47" xfId="5" applyNumberFormat="1" applyFont="1" applyFill="1" applyBorder="1" applyAlignment="1">
      <alignment horizontal="right" vertical="center"/>
    </xf>
    <xf numFmtId="173" fontId="29" fillId="13" borderId="54" xfId="5" applyNumberFormat="1" applyFont="1" applyFill="1" applyBorder="1" applyAlignment="1">
      <alignment horizontal="right" vertical="center"/>
    </xf>
    <xf numFmtId="168" fontId="29" fillId="13" borderId="128" xfId="5" applyNumberFormat="1" applyFont="1" applyFill="1" applyBorder="1" applyAlignment="1">
      <alignment horizontal="right" vertical="center"/>
    </xf>
    <xf numFmtId="167" fontId="63" fillId="10" borderId="131" xfId="5" applyNumberFormat="1" applyFont="1" applyFill="1" applyBorder="1" applyAlignment="1">
      <alignment horizontal="right" vertical="center"/>
    </xf>
    <xf numFmtId="0" fontId="28" fillId="0" borderId="199" xfId="0" applyFont="1" applyBorder="1" applyAlignment="1">
      <alignment horizontal="left" vertical="center" wrapText="1"/>
    </xf>
    <xf numFmtId="9" fontId="21" fillId="0" borderId="155" xfId="4" applyFont="1" applyBorder="1" applyAlignment="1">
      <alignment horizontal="center" vertical="center" wrapText="1"/>
    </xf>
    <xf numFmtId="9" fontId="23" fillId="4" borderId="18" xfId="4" applyFont="1" applyFill="1" applyBorder="1" applyAlignment="1">
      <alignment horizontal="center" vertical="center"/>
    </xf>
    <xf numFmtId="9" fontId="21" fillId="0" borderId="35" xfId="4" applyFont="1" applyBorder="1" applyAlignment="1">
      <alignment horizontal="center" vertical="center" wrapText="1"/>
    </xf>
    <xf numFmtId="9" fontId="21" fillId="0" borderId="83" xfId="4" applyFont="1" applyBorder="1" applyAlignment="1">
      <alignment horizontal="center" vertical="center" wrapText="1"/>
    </xf>
    <xf numFmtId="9" fontId="27" fillId="0" borderId="1" xfId="4" applyFont="1" applyBorder="1" applyAlignment="1">
      <alignment horizontal="center" vertical="center" wrapText="1"/>
    </xf>
    <xf numFmtId="9" fontId="21" fillId="0" borderId="73" xfId="4" applyFont="1" applyBorder="1" applyAlignment="1">
      <alignment horizontal="center" vertical="center" wrapText="1"/>
    </xf>
    <xf numFmtId="9" fontId="21" fillId="0" borderId="0" xfId="4" applyFont="1" applyAlignment="1">
      <alignment horizontal="center" vertical="center" wrapText="1"/>
    </xf>
    <xf numFmtId="9" fontId="28" fillId="0" borderId="199" xfId="4" applyFont="1" applyFill="1" applyBorder="1" applyAlignment="1">
      <alignment horizontal="center" vertical="center" wrapText="1"/>
    </xf>
    <xf numFmtId="9" fontId="27" fillId="0" borderId="1" xfId="4" applyFont="1" applyFill="1" applyBorder="1" applyAlignment="1">
      <alignment horizontal="center" vertical="center" wrapText="1"/>
    </xf>
    <xf numFmtId="165" fontId="23" fillId="13" borderId="133" xfId="5" applyNumberFormat="1" applyFont="1" applyFill="1" applyBorder="1"/>
    <xf numFmtId="0" fontId="21" fillId="13" borderId="100" xfId="0" applyFont="1" applyFill="1" applyBorder="1" applyAlignment="1">
      <alignment horizontal="center" vertical="center"/>
    </xf>
    <xf numFmtId="0" fontId="21" fillId="0" borderId="207" xfId="0" applyFont="1" applyBorder="1" applyAlignment="1">
      <alignment horizontal="center" vertical="center"/>
    </xf>
    <xf numFmtId="0" fontId="82" fillId="5" borderId="87" xfId="7" applyFont="1" applyFill="1" applyBorder="1" applyAlignment="1">
      <alignment horizontal="center" vertical="center" wrapText="1"/>
    </xf>
    <xf numFmtId="0" fontId="82" fillId="5" borderId="88" xfId="7" applyFont="1" applyFill="1" applyBorder="1" applyAlignment="1">
      <alignment horizontal="center" vertical="center" wrapText="1"/>
    </xf>
    <xf numFmtId="0" fontId="82" fillId="5" borderId="88" xfId="0" applyFont="1" applyFill="1" applyBorder="1" applyAlignment="1">
      <alignment horizontal="center" vertical="center" wrapText="1"/>
    </xf>
    <xf numFmtId="9" fontId="82" fillId="5" borderId="88" xfId="4" applyFont="1" applyFill="1" applyBorder="1" applyAlignment="1">
      <alignment horizontal="center" vertical="center" wrapText="1"/>
    </xf>
    <xf numFmtId="0" fontId="82" fillId="5" borderId="89" xfId="7" applyFont="1" applyFill="1" applyBorder="1" applyAlignment="1">
      <alignment horizontal="center" vertical="center" wrapText="1"/>
    </xf>
    <xf numFmtId="0" fontId="21" fillId="0" borderId="100" xfId="0" applyFont="1" applyBorder="1" applyAlignment="1">
      <alignment horizontal="center" vertical="center"/>
    </xf>
    <xf numFmtId="0" fontId="21" fillId="0" borderId="34" xfId="0" quotePrefix="1" applyFont="1" applyBorder="1" applyAlignment="1">
      <alignment horizontal="left" vertical="center"/>
    </xf>
    <xf numFmtId="0" fontId="21" fillId="0" borderId="34" xfId="0" applyFont="1" applyBorder="1" applyAlignment="1">
      <alignment horizontal="left" vertical="center"/>
    </xf>
    <xf numFmtId="174" fontId="21" fillId="0" borderId="8" xfId="4" applyNumberFormat="1" applyFont="1" applyBorder="1" applyAlignment="1"/>
    <xf numFmtId="2" fontId="21" fillId="0" borderId="8" xfId="0" applyNumberFormat="1" applyFont="1" applyBorder="1" applyAlignment="1">
      <alignment vertical="center"/>
    </xf>
    <xf numFmtId="2" fontId="21" fillId="0" borderId="8" xfId="0" applyNumberFormat="1" applyFont="1" applyBorder="1"/>
    <xf numFmtId="0" fontId="21" fillId="0" borderId="8" xfId="0" applyFont="1" applyBorder="1"/>
    <xf numFmtId="168" fontId="21" fillId="7" borderId="8" xfId="0" applyNumberFormat="1" applyFont="1" applyFill="1" applyBorder="1"/>
    <xf numFmtId="165" fontId="21" fillId="13" borderId="205" xfId="0" applyNumberFormat="1" applyFont="1" applyFill="1" applyBorder="1" applyAlignment="1">
      <alignment horizontal="center" vertical="center"/>
    </xf>
    <xf numFmtId="165" fontId="21" fillId="13" borderId="208" xfId="0" applyNumberFormat="1" applyFont="1" applyFill="1" applyBorder="1" applyAlignment="1">
      <alignment horizontal="center" vertical="center"/>
    </xf>
    <xf numFmtId="2" fontId="21" fillId="0" borderId="0" xfId="0" applyNumberFormat="1" applyFont="1" applyAlignment="1">
      <alignment vertical="center"/>
    </xf>
    <xf numFmtId="174" fontId="21" fillId="0" borderId="0" xfId="4" applyNumberFormat="1" applyFont="1" applyBorder="1" applyAlignment="1"/>
    <xf numFmtId="0" fontId="21" fillId="0" borderId="0" xfId="0" applyFont="1" applyAlignment="1">
      <alignment horizontal="right" vertical="center"/>
    </xf>
    <xf numFmtId="2" fontId="21" fillId="0" borderId="0" xfId="0" applyNumberFormat="1" applyFont="1" applyAlignment="1">
      <alignment horizontal="right" vertical="center"/>
    </xf>
    <xf numFmtId="0" fontId="32" fillId="0" borderId="70" xfId="1" applyFont="1" applyBorder="1" applyAlignment="1">
      <alignment horizontal="center" vertical="center"/>
    </xf>
    <xf numFmtId="0" fontId="21" fillId="0" borderId="0" xfId="0" applyFont="1" applyAlignment="1">
      <alignment horizontal="left" vertical="center"/>
    </xf>
    <xf numFmtId="2" fontId="32" fillId="0" borderId="1" xfId="1" applyNumberFormat="1" applyFont="1" applyBorder="1" applyAlignment="1">
      <alignment horizontal="center" vertical="center"/>
    </xf>
    <xf numFmtId="0" fontId="32" fillId="0" borderId="35" xfId="1" applyFont="1" applyBorder="1" applyAlignment="1">
      <alignment vertical="center"/>
    </xf>
    <xf numFmtId="0" fontId="32" fillId="0" borderId="36" xfId="1" applyFont="1" applyBorder="1" applyAlignment="1">
      <alignment vertical="center"/>
    </xf>
    <xf numFmtId="0" fontId="32" fillId="0" borderId="31" xfId="1" applyFont="1" applyBorder="1" applyAlignment="1">
      <alignment horizontal="left" vertical="center"/>
    </xf>
    <xf numFmtId="0" fontId="32" fillId="0" borderId="60" xfId="0" applyFont="1" applyBorder="1" applyAlignment="1">
      <alignment horizontal="center" vertical="center" wrapText="1"/>
    </xf>
    <xf numFmtId="0" fontId="32" fillId="0" borderId="215" xfId="0" applyFont="1" applyBorder="1" applyAlignment="1">
      <alignment horizontal="center" vertical="center" wrapText="1"/>
    </xf>
    <xf numFmtId="0" fontId="32" fillId="0" borderId="61" xfId="0" applyFont="1" applyBorder="1" applyAlignment="1">
      <alignment horizontal="center" vertical="center" wrapText="1"/>
    </xf>
    <xf numFmtId="0" fontId="32" fillId="0" borderId="60" xfId="0" applyFont="1" applyBorder="1" applyAlignment="1">
      <alignment horizontal="center" vertical="center" wrapText="1" readingOrder="1"/>
    </xf>
    <xf numFmtId="0" fontId="32" fillId="0" borderId="215" xfId="0" applyFont="1" applyBorder="1" applyAlignment="1">
      <alignment horizontal="center" vertical="center" wrapText="1" readingOrder="1"/>
    </xf>
    <xf numFmtId="0" fontId="32" fillId="0" borderId="61" xfId="0" applyFont="1" applyBorder="1" applyAlignment="1">
      <alignment horizontal="center" vertical="center" wrapText="1" readingOrder="1"/>
    </xf>
    <xf numFmtId="9" fontId="32" fillId="0" borderId="60" xfId="4" applyFont="1" applyFill="1" applyBorder="1" applyAlignment="1">
      <alignment horizontal="center" vertical="center" wrapText="1"/>
    </xf>
    <xf numFmtId="9" fontId="32" fillId="0" borderId="215" xfId="4" applyFont="1" applyFill="1" applyBorder="1" applyAlignment="1">
      <alignment horizontal="center" vertical="center" wrapText="1"/>
    </xf>
    <xf numFmtId="0" fontId="32" fillId="0" borderId="215" xfId="4" applyNumberFormat="1" applyFont="1" applyFill="1" applyBorder="1" applyAlignment="1">
      <alignment horizontal="center" vertical="center" wrapText="1"/>
    </xf>
    <xf numFmtId="0" fontId="32" fillId="0" borderId="61" xfId="4" applyNumberFormat="1" applyFont="1" applyFill="1" applyBorder="1" applyAlignment="1">
      <alignment horizontal="center" vertical="center" wrapText="1"/>
    </xf>
    <xf numFmtId="0" fontId="32" fillId="0" borderId="33" xfId="1" applyFont="1" applyBorder="1" applyAlignment="1">
      <alignment horizontal="center" vertical="center" textRotation="90"/>
    </xf>
    <xf numFmtId="0" fontId="32" fillId="0" borderId="42" xfId="1" applyFont="1" applyBorder="1" applyAlignment="1">
      <alignment horizontal="center" vertical="center"/>
    </xf>
    <xf numFmtId="0" fontId="32" fillId="15" borderId="62" xfId="1" applyFont="1" applyFill="1" applyBorder="1" applyAlignment="1">
      <alignment horizontal="center" vertical="center"/>
    </xf>
    <xf numFmtId="0" fontId="32" fillId="0" borderId="71" xfId="1" applyFont="1" applyBorder="1" applyAlignment="1">
      <alignment horizontal="center" vertical="center"/>
    </xf>
    <xf numFmtId="0" fontId="32" fillId="0" borderId="69" xfId="1" applyFont="1" applyBorder="1" applyAlignment="1">
      <alignment horizontal="center" vertical="center"/>
    </xf>
    <xf numFmtId="0" fontId="42" fillId="0" borderId="60" xfId="0" applyFont="1" applyBorder="1" applyAlignment="1">
      <alignment vertical="center" wrapText="1"/>
    </xf>
    <xf numFmtId="0" fontId="42" fillId="0" borderId="215" xfId="0" applyFont="1" applyBorder="1" applyAlignment="1">
      <alignment vertical="center" wrapText="1"/>
    </xf>
    <xf numFmtId="0" fontId="42" fillId="0" borderId="61" xfId="0" applyFont="1" applyBorder="1" applyAlignment="1">
      <alignment vertical="center" wrapText="1"/>
    </xf>
    <xf numFmtId="0" fontId="32" fillId="15" borderId="194" xfId="1" applyFont="1" applyFill="1" applyBorder="1" applyAlignment="1">
      <alignment horizontal="center" vertical="center"/>
    </xf>
    <xf numFmtId="0" fontId="32" fillId="15" borderId="36" xfId="1" applyFont="1" applyFill="1" applyBorder="1" applyAlignment="1">
      <alignment horizontal="center" vertical="center"/>
    </xf>
    <xf numFmtId="0" fontId="43" fillId="0" borderId="60" xfId="0" applyFont="1" applyBorder="1" applyAlignment="1">
      <alignment horizontal="center" vertical="center" wrapText="1" readingOrder="1"/>
    </xf>
    <xf numFmtId="0" fontId="43" fillId="0" borderId="215" xfId="0" applyFont="1" applyBorder="1" applyAlignment="1">
      <alignment horizontal="center" vertical="center" wrapText="1" readingOrder="1"/>
    </xf>
    <xf numFmtId="0" fontId="43" fillId="0" borderId="61" xfId="0" applyFont="1" applyBorder="1" applyAlignment="1">
      <alignment horizontal="center" vertical="center" wrapText="1" readingOrder="1"/>
    </xf>
    <xf numFmtId="9" fontId="32" fillId="0" borderId="61" xfId="4" applyFont="1" applyFill="1" applyBorder="1" applyAlignment="1">
      <alignment horizontal="center" vertical="center" wrapText="1"/>
    </xf>
    <xf numFmtId="0" fontId="32" fillId="0" borderId="60" xfId="4" applyNumberFormat="1" applyFont="1" applyFill="1" applyBorder="1" applyAlignment="1">
      <alignment horizontal="center" vertical="center" wrapText="1"/>
    </xf>
    <xf numFmtId="0" fontId="83" fillId="0" borderId="60" xfId="0" applyFont="1" applyBorder="1" applyAlignment="1">
      <alignment horizontal="center" vertical="center" textRotation="90" wrapText="1" readingOrder="1"/>
    </xf>
    <xf numFmtId="0" fontId="83" fillId="0" borderId="215" xfId="0" applyFont="1" applyBorder="1" applyAlignment="1">
      <alignment horizontal="center" vertical="center" textRotation="90" wrapText="1" readingOrder="1"/>
    </xf>
    <xf numFmtId="9" fontId="34" fillId="0" borderId="60" xfId="4" applyFont="1" applyFill="1" applyBorder="1" applyAlignment="1">
      <alignment horizontal="center" vertical="center" textRotation="90" wrapText="1"/>
    </xf>
    <xf numFmtId="9" fontId="34" fillId="0" borderId="215" xfId="4" applyFont="1" applyFill="1" applyBorder="1" applyAlignment="1">
      <alignment horizontal="center" vertical="center" textRotation="90" wrapText="1"/>
    </xf>
    <xf numFmtId="0" fontId="34" fillId="0" borderId="215" xfId="4" applyNumberFormat="1" applyFont="1" applyFill="1" applyBorder="1" applyAlignment="1">
      <alignment horizontal="center" vertical="center" textRotation="90" wrapText="1"/>
    </xf>
    <xf numFmtId="9" fontId="34" fillId="0" borderId="61" xfId="4" applyFont="1" applyFill="1" applyBorder="1" applyAlignment="1">
      <alignment horizontal="center" vertical="center" textRotation="90" wrapText="1"/>
    </xf>
    <xf numFmtId="0" fontId="34" fillId="0" borderId="60" xfId="4" applyNumberFormat="1" applyFont="1" applyFill="1" applyBorder="1" applyAlignment="1">
      <alignment horizontal="center" vertical="center" textRotation="90" wrapText="1"/>
    </xf>
    <xf numFmtId="0" fontId="34" fillId="0" borderId="61" xfId="4" applyNumberFormat="1" applyFont="1" applyFill="1" applyBorder="1" applyAlignment="1">
      <alignment horizontal="center" vertical="center" textRotation="90" wrapText="1"/>
    </xf>
    <xf numFmtId="0" fontId="83" fillId="0" borderId="60" xfId="0" applyFont="1" applyBorder="1" applyAlignment="1">
      <alignment horizontal="center" vertical="center" textRotation="90" wrapText="1"/>
    </xf>
    <xf numFmtId="0" fontId="83" fillId="0" borderId="215" xfId="0" applyFont="1" applyBorder="1" applyAlignment="1">
      <alignment horizontal="center" vertical="center" textRotation="90" wrapText="1"/>
    </xf>
    <xf numFmtId="0" fontId="34" fillId="0" borderId="60" xfId="0" applyFont="1" applyBorder="1" applyAlignment="1">
      <alignment horizontal="center" vertical="center" textRotation="90" wrapText="1"/>
    </xf>
    <xf numFmtId="0" fontId="34" fillId="0" borderId="215" xfId="0" applyFont="1" applyBorder="1" applyAlignment="1">
      <alignment horizontal="center" vertical="center" textRotation="90" wrapText="1"/>
    </xf>
    <xf numFmtId="0" fontId="34" fillId="0" borderId="61" xfId="0" applyFont="1" applyBorder="1" applyAlignment="1">
      <alignment horizontal="center" vertical="center" textRotation="90" wrapText="1"/>
    </xf>
    <xf numFmtId="0" fontId="34" fillId="0" borderId="60" xfId="0" applyFont="1" applyBorder="1" applyAlignment="1">
      <alignment horizontal="center" vertical="center" textRotation="90" wrapText="1" readingOrder="1"/>
    </xf>
    <xf numFmtId="0" fontId="34" fillId="0" borderId="215" xfId="0" applyFont="1" applyBorder="1" applyAlignment="1">
      <alignment horizontal="center" vertical="center" textRotation="90" wrapText="1" readingOrder="1"/>
    </xf>
    <xf numFmtId="0" fontId="34" fillId="0" borderId="215" xfId="7" applyFont="1" applyBorder="1" applyAlignment="1">
      <alignment horizontal="center" vertical="center" textRotation="90" wrapText="1"/>
    </xf>
    <xf numFmtId="0" fontId="46" fillId="0" borderId="3" xfId="0" applyFont="1" applyBorder="1" applyAlignment="1">
      <alignment vertical="center" wrapText="1"/>
    </xf>
    <xf numFmtId="0" fontId="46" fillId="0" borderId="3" xfId="0" applyFont="1" applyBorder="1" applyAlignment="1">
      <alignment horizontal="center" vertical="center" textRotation="90" wrapText="1"/>
    </xf>
    <xf numFmtId="0" fontId="47" fillId="0" borderId="215" xfId="0" applyFont="1" applyBorder="1" applyAlignment="1">
      <alignment horizontal="center" vertical="center" wrapText="1"/>
    </xf>
    <xf numFmtId="0" fontId="46" fillId="0" borderId="31" xfId="1" applyFont="1" applyBorder="1" applyAlignment="1">
      <alignment horizontal="center" vertical="center"/>
    </xf>
    <xf numFmtId="0" fontId="0" fillId="0" borderId="0" xfId="0" applyAlignment="1">
      <alignment vertical="center"/>
    </xf>
    <xf numFmtId="0" fontId="39" fillId="0" borderId="46" xfId="0" applyFont="1" applyBorder="1" applyAlignment="1">
      <alignment vertical="center"/>
    </xf>
    <xf numFmtId="0" fontId="47" fillId="0" borderId="13" xfId="1" applyFont="1" applyBorder="1" applyAlignment="1">
      <alignment horizontal="center" vertical="center"/>
    </xf>
    <xf numFmtId="2" fontId="21" fillId="15" borderId="55" xfId="0" applyNumberFormat="1" applyFont="1" applyFill="1" applyBorder="1" applyAlignment="1">
      <alignment vertical="center"/>
    </xf>
    <xf numFmtId="172" fontId="21" fillId="15" borderId="55" xfId="3" applyNumberFormat="1" applyFont="1" applyFill="1" applyBorder="1" applyAlignment="1">
      <alignment vertical="center"/>
    </xf>
    <xf numFmtId="0" fontId="21" fillId="0" borderId="58" xfId="0" applyFont="1" applyBorder="1" applyAlignment="1">
      <alignment vertical="center"/>
    </xf>
    <xf numFmtId="170" fontId="21" fillId="15" borderId="59" xfId="0" applyNumberFormat="1" applyFont="1" applyFill="1" applyBorder="1" applyAlignment="1">
      <alignment vertical="center"/>
    </xf>
    <xf numFmtId="0" fontId="21" fillId="0" borderId="81" xfId="0" applyFont="1" applyBorder="1" applyAlignment="1">
      <alignment vertical="center"/>
    </xf>
    <xf numFmtId="0" fontId="49" fillId="0" borderId="0" xfId="0" applyFont="1" applyAlignment="1">
      <alignment horizontal="center" vertical="center" wrapText="1"/>
    </xf>
    <xf numFmtId="0" fontId="32" fillId="0" borderId="0" xfId="0" applyFont="1" applyAlignment="1">
      <alignment vertical="center"/>
    </xf>
    <xf numFmtId="0" fontId="47" fillId="0" borderId="60" xfId="0" applyFont="1" applyBorder="1" applyAlignment="1">
      <alignment horizontal="center" vertical="center" wrapText="1"/>
    </xf>
    <xf numFmtId="0" fontId="47" fillId="0" borderId="215" xfId="0" applyFont="1" applyBorder="1" applyAlignment="1">
      <alignment horizontal="center" vertical="center" textRotation="90" wrapText="1"/>
    </xf>
    <xf numFmtId="0" fontId="47" fillId="0" borderId="61" xfId="0" applyFont="1" applyBorder="1" applyAlignment="1">
      <alignment horizontal="center" vertical="center" textRotation="90" wrapText="1"/>
    </xf>
    <xf numFmtId="0" fontId="47" fillId="0" borderId="13" xfId="0" applyFont="1" applyBorder="1" applyAlignment="1">
      <alignment horizontal="center" vertical="center" wrapText="1"/>
    </xf>
    <xf numFmtId="0" fontId="47" fillId="0" borderId="61" xfId="0" applyFont="1" applyBorder="1" applyAlignment="1">
      <alignment horizontal="center" vertical="center" wrapText="1"/>
    </xf>
    <xf numFmtId="0" fontId="0" fillId="0" borderId="0" xfId="0" applyAlignment="1">
      <alignment horizontal="left" vertical="center"/>
    </xf>
    <xf numFmtId="0" fontId="46" fillId="0" borderId="164" xfId="0" applyFont="1" applyBorder="1" applyAlignment="1">
      <alignment horizontal="center" vertical="center"/>
    </xf>
    <xf numFmtId="0" fontId="46" fillId="0" borderId="52" xfId="0" applyFont="1" applyBorder="1" applyAlignment="1">
      <alignment horizontal="center" vertical="center"/>
    </xf>
    <xf numFmtId="0" fontId="46" fillId="0" borderId="1" xfId="0" applyFont="1" applyBorder="1" applyAlignment="1">
      <alignment horizontal="center" vertical="center" wrapText="1"/>
    </xf>
    <xf numFmtId="0" fontId="46" fillId="0" borderId="1" xfId="0" applyFont="1" applyBorder="1" applyAlignment="1">
      <alignment horizontal="left" vertical="center" wrapText="1"/>
    </xf>
    <xf numFmtId="0" fontId="46" fillId="0" borderId="31" xfId="1" applyFont="1" applyBorder="1" applyAlignment="1">
      <alignment horizontal="center"/>
    </xf>
    <xf numFmtId="0" fontId="23" fillId="4" borderId="8" xfId="1" applyFont="1" applyFill="1" applyBorder="1" applyAlignment="1">
      <alignment vertical="center"/>
    </xf>
    <xf numFmtId="0" fontId="46" fillId="0" borderId="35" xfId="1" applyFont="1" applyBorder="1" applyAlignment="1">
      <alignment horizontal="center"/>
    </xf>
    <xf numFmtId="0" fontId="47" fillId="0" borderId="219" xfId="0" applyFont="1" applyBorder="1" applyAlignment="1">
      <alignment horizontal="center" vertical="center" textRotation="90" wrapText="1"/>
    </xf>
    <xf numFmtId="0" fontId="47" fillId="0" borderId="216" xfId="0" applyFont="1" applyBorder="1" applyAlignment="1">
      <alignment horizontal="center" vertical="center" textRotation="90" wrapText="1"/>
    </xf>
    <xf numFmtId="0" fontId="47" fillId="0" borderId="220" xfId="0" applyFont="1" applyBorder="1" applyAlignment="1">
      <alignment horizontal="center" vertical="center" textRotation="90" wrapText="1"/>
    </xf>
    <xf numFmtId="0" fontId="47" fillId="0" borderId="163" xfId="0" applyFont="1" applyBorder="1" applyAlignment="1">
      <alignment horizontal="center" vertical="center" textRotation="90" wrapText="1"/>
    </xf>
    <xf numFmtId="0" fontId="46" fillId="0" borderId="50" xfId="0" applyFont="1" applyBorder="1" applyAlignment="1">
      <alignment horizontal="center" vertical="center"/>
    </xf>
    <xf numFmtId="0" fontId="49" fillId="0" borderId="50" xfId="0" applyFont="1" applyBorder="1" applyAlignment="1">
      <alignment horizontal="center" vertical="center"/>
    </xf>
    <xf numFmtId="0" fontId="32" fillId="0" borderId="1" xfId="0" applyFont="1" applyBorder="1" applyAlignment="1">
      <alignment horizontal="left" vertical="center" wrapText="1"/>
    </xf>
    <xf numFmtId="0" fontId="32" fillId="15" borderId="62" xfId="4" applyNumberFormat="1" applyFont="1" applyFill="1" applyBorder="1" applyAlignment="1">
      <alignment horizontal="center" vertical="center"/>
    </xf>
    <xf numFmtId="9" fontId="32" fillId="0" borderId="31" xfId="1" applyNumberFormat="1" applyFont="1" applyBorder="1" applyAlignment="1">
      <alignment horizontal="center"/>
    </xf>
    <xf numFmtId="9" fontId="32" fillId="0" borderId="35" xfId="1" applyNumberFormat="1" applyFont="1" applyBorder="1" applyAlignment="1">
      <alignment horizontal="center"/>
    </xf>
    <xf numFmtId="9" fontId="32" fillId="0" borderId="31" xfId="1" applyNumberFormat="1" applyFont="1" applyBorder="1" applyAlignment="1">
      <alignment horizontal="center" vertical="center"/>
    </xf>
    <xf numFmtId="9" fontId="47" fillId="0" borderId="60" xfId="0" applyNumberFormat="1" applyFont="1" applyBorder="1" applyAlignment="1">
      <alignment horizontal="center" vertical="center" wrapText="1"/>
    </xf>
    <xf numFmtId="9" fontId="47" fillId="0" borderId="219" xfId="0" applyNumberFormat="1" applyFont="1" applyBorder="1" applyAlignment="1">
      <alignment horizontal="center" vertical="center" textRotation="90" wrapText="1"/>
    </xf>
    <xf numFmtId="9" fontId="21" fillId="0" borderId="0" xfId="0" applyNumberFormat="1" applyFont="1" applyAlignment="1">
      <alignment vertical="center"/>
    </xf>
    <xf numFmtId="9" fontId="0" fillId="0" borderId="0" xfId="0" applyNumberFormat="1" applyAlignment="1">
      <alignment vertical="center"/>
    </xf>
    <xf numFmtId="0" fontId="46" fillId="0" borderId="223" xfId="0" applyFont="1" applyBorder="1" applyAlignment="1">
      <alignment horizontal="center" vertical="center"/>
    </xf>
    <xf numFmtId="0" fontId="46" fillId="0" borderId="224" xfId="0" applyFont="1" applyBorder="1" applyAlignment="1">
      <alignment horizontal="center" vertical="center"/>
    </xf>
    <xf numFmtId="0" fontId="21" fillId="0" borderId="36" xfId="1" applyFont="1" applyBorder="1" applyAlignment="1">
      <alignment horizontal="center" vertical="center"/>
    </xf>
    <xf numFmtId="0" fontId="46" fillId="0" borderId="228" xfId="0" applyFont="1" applyBorder="1" applyAlignment="1">
      <alignment horizontal="center" vertical="center"/>
    </xf>
    <xf numFmtId="0" fontId="32" fillId="0" borderId="1" xfId="0" applyFont="1" applyBorder="1" applyAlignment="1">
      <alignment horizontal="center" vertical="center" wrapText="1"/>
    </xf>
    <xf numFmtId="0" fontId="46" fillId="0" borderId="165" xfId="0" applyFont="1" applyBorder="1" applyAlignment="1">
      <alignment horizontal="center" vertical="center" wrapText="1" readingOrder="1"/>
    </xf>
    <xf numFmtId="0" fontId="48" fillId="0" borderId="165" xfId="0" applyFont="1" applyBorder="1" applyAlignment="1">
      <alignment horizontal="center" vertical="center" wrapText="1"/>
    </xf>
    <xf numFmtId="0" fontId="48" fillId="0" borderId="165" xfId="0" applyFont="1" applyBorder="1" applyAlignment="1">
      <alignment horizontal="left" vertical="center" wrapText="1"/>
    </xf>
    <xf numFmtId="0" fontId="46" fillId="0" borderId="49" xfId="0" applyFont="1" applyBorder="1" applyAlignment="1">
      <alignment horizontal="center" vertical="center" wrapText="1" readingOrder="1"/>
    </xf>
    <xf numFmtId="0" fontId="46" fillId="0" borderId="221" xfId="0" applyFont="1" applyBorder="1" applyAlignment="1">
      <alignment vertical="center" wrapText="1" readingOrder="1"/>
    </xf>
    <xf numFmtId="9" fontId="46" fillId="0" borderId="164" xfId="4" applyFont="1" applyFill="1" applyBorder="1" applyAlignment="1">
      <alignment horizontal="center" vertical="center" wrapText="1"/>
    </xf>
    <xf numFmtId="9" fontId="46" fillId="0" borderId="165" xfId="0" applyNumberFormat="1" applyFont="1" applyBorder="1" applyAlignment="1">
      <alignment horizontal="center" vertical="center" wrapText="1"/>
    </xf>
    <xf numFmtId="0" fontId="46" fillId="0" borderId="165" xfId="0" applyFont="1" applyBorder="1" applyAlignment="1">
      <alignment horizontal="center" vertical="center" wrapText="1"/>
    </xf>
    <xf numFmtId="0" fontId="46" fillId="0" borderId="49" xfId="0" applyFont="1" applyBorder="1" applyAlignment="1">
      <alignment horizontal="center" vertical="center" wrapText="1"/>
    </xf>
    <xf numFmtId="0" fontId="46" fillId="0" borderId="221" xfId="1" applyFont="1" applyBorder="1" applyAlignment="1">
      <alignment horizontal="center" vertical="center"/>
    </xf>
    <xf numFmtId="0" fontId="46" fillId="0" borderId="164" xfId="0" applyFont="1" applyBorder="1" applyAlignment="1">
      <alignment horizontal="center" vertical="center" wrapText="1"/>
    </xf>
    <xf numFmtId="0" fontId="46" fillId="0" borderId="49" xfId="4" applyNumberFormat="1" applyFont="1" applyFill="1" applyBorder="1" applyAlignment="1">
      <alignment horizontal="center" vertical="center" wrapText="1"/>
    </xf>
    <xf numFmtId="0" fontId="46" fillId="0" borderId="3" xfId="4" applyNumberFormat="1" applyFont="1" applyFill="1" applyBorder="1" applyAlignment="1">
      <alignment horizontal="center" vertical="center" wrapText="1"/>
    </xf>
    <xf numFmtId="0" fontId="46" fillId="0" borderId="1" xfId="0" applyFont="1" applyBorder="1" applyAlignment="1">
      <alignment horizontal="center" vertical="center" wrapText="1" readingOrder="1"/>
    </xf>
    <xf numFmtId="0" fontId="49" fillId="0" borderId="1" xfId="0" applyFont="1" applyBorder="1" applyAlignment="1">
      <alignment horizontal="left" vertical="center" wrapText="1"/>
    </xf>
    <xf numFmtId="0" fontId="49" fillId="0" borderId="1" xfId="0" applyFont="1" applyBorder="1" applyAlignment="1">
      <alignment horizontal="center" vertical="center" wrapText="1"/>
    </xf>
    <xf numFmtId="0" fontId="48" fillId="0" borderId="1" xfId="0" applyFont="1" applyBorder="1" applyAlignment="1">
      <alignment horizontal="left" vertical="center" wrapText="1"/>
    </xf>
    <xf numFmtId="0" fontId="46" fillId="0" borderId="53" xfId="0" applyFont="1" applyBorder="1" applyAlignment="1">
      <alignment horizontal="center" vertical="center" wrapText="1" readingOrder="1"/>
    </xf>
    <xf numFmtId="0" fontId="46" fillId="0" borderId="13" xfId="0" applyFont="1" applyBorder="1" applyAlignment="1">
      <alignment vertical="center" wrapText="1" readingOrder="1"/>
    </xf>
    <xf numFmtId="9" fontId="46" fillId="0" borderId="52" xfId="4" applyFont="1" applyFill="1" applyBorder="1" applyAlignment="1">
      <alignment horizontal="center" vertical="center" wrapText="1"/>
    </xf>
    <xf numFmtId="9" fontId="46" fillId="0" borderId="1" xfId="0" applyNumberFormat="1" applyFont="1" applyBorder="1" applyAlignment="1">
      <alignment horizontal="center" vertical="center" wrapText="1"/>
    </xf>
    <xf numFmtId="0" fontId="46" fillId="0" borderId="53" xfId="0" applyFont="1" applyBorder="1" applyAlignment="1">
      <alignment horizontal="center" vertical="center" wrapText="1"/>
    </xf>
    <xf numFmtId="0" fontId="46" fillId="0" borderId="13" xfId="1" applyFont="1" applyBorder="1" applyAlignment="1">
      <alignment horizontal="center" vertical="center"/>
    </xf>
    <xf numFmtId="9" fontId="46" fillId="0" borderId="1" xfId="4" applyFont="1" applyFill="1" applyBorder="1" applyAlignment="1">
      <alignment horizontal="center" vertical="center" wrapText="1"/>
    </xf>
    <xf numFmtId="0" fontId="46" fillId="0" borderId="53" xfId="4" applyNumberFormat="1" applyFont="1" applyFill="1" applyBorder="1" applyAlignment="1">
      <alignment horizontal="center" vertical="center" wrapText="1"/>
    </xf>
    <xf numFmtId="0" fontId="46" fillId="0" borderId="13" xfId="0" applyFont="1" applyBorder="1" applyAlignment="1">
      <alignment horizontal="center" vertical="center" wrapText="1" readingOrder="1"/>
    </xf>
    <xf numFmtId="9" fontId="46" fillId="0" borderId="52" xfId="0" applyNumberFormat="1" applyFont="1" applyBorder="1" applyAlignment="1">
      <alignment horizontal="center" vertical="center" wrapText="1" readingOrder="1"/>
    </xf>
    <xf numFmtId="9" fontId="46" fillId="0" borderId="53" xfId="0" applyNumberFormat="1" applyFont="1" applyBorder="1" applyAlignment="1">
      <alignment horizontal="center" vertical="center" wrapText="1"/>
    </xf>
    <xf numFmtId="0" fontId="46" fillId="0" borderId="57" xfId="0" applyFont="1" applyBorder="1" applyAlignment="1">
      <alignment horizontal="center" vertical="center" wrapText="1" readingOrder="1"/>
    </xf>
    <xf numFmtId="0" fontId="46" fillId="0" borderId="214" xfId="0" applyFont="1" applyBorder="1" applyAlignment="1">
      <alignment horizontal="center" vertical="center" wrapText="1"/>
    </xf>
    <xf numFmtId="0" fontId="49" fillId="0" borderId="57" xfId="0" applyFont="1" applyBorder="1" applyAlignment="1">
      <alignment horizontal="left" vertical="center" wrapText="1"/>
    </xf>
    <xf numFmtId="0" fontId="49" fillId="0" borderId="57" xfId="0" applyFont="1" applyBorder="1" applyAlignment="1">
      <alignment horizontal="center" vertical="center" wrapText="1"/>
    </xf>
    <xf numFmtId="0" fontId="48" fillId="0" borderId="57" xfId="0" applyFont="1" applyBorder="1" applyAlignment="1">
      <alignment horizontal="left" vertical="center" wrapText="1"/>
    </xf>
    <xf numFmtId="0" fontId="46" fillId="0" borderId="51" xfId="0" applyFont="1" applyBorder="1" applyAlignment="1">
      <alignment horizontal="center" vertical="center" wrapText="1" readingOrder="1"/>
    </xf>
    <xf numFmtId="0" fontId="46" fillId="0" borderId="222" xfId="0" applyFont="1" applyBorder="1" applyAlignment="1">
      <alignment vertical="center" wrapText="1" readingOrder="1"/>
    </xf>
    <xf numFmtId="9" fontId="46" fillId="0" borderId="50" xfId="4" applyFont="1" applyFill="1" applyBorder="1" applyAlignment="1">
      <alignment horizontal="center" vertical="center" wrapText="1"/>
    </xf>
    <xf numFmtId="9" fontId="46" fillId="0" borderId="57" xfId="0" applyNumberFormat="1" applyFont="1" applyBorder="1" applyAlignment="1">
      <alignment horizontal="center" vertical="center" wrapText="1"/>
    </xf>
    <xf numFmtId="0" fontId="46" fillId="0" borderId="57" xfId="0" applyFont="1" applyBorder="1" applyAlignment="1">
      <alignment horizontal="center" vertical="center" wrapText="1"/>
    </xf>
    <xf numFmtId="0" fontId="48" fillId="0" borderId="57" xfId="0" applyFont="1" applyBorder="1" applyAlignment="1">
      <alignment horizontal="center" vertical="center" wrapText="1"/>
    </xf>
    <xf numFmtId="0" fontId="46" fillId="0" borderId="51" xfId="0" applyFont="1" applyBorder="1" applyAlignment="1">
      <alignment horizontal="center" vertical="center" wrapText="1"/>
    </xf>
    <xf numFmtId="0" fontId="46" fillId="0" borderId="222" xfId="1" applyFont="1" applyBorder="1" applyAlignment="1">
      <alignment horizontal="center" vertical="center"/>
    </xf>
    <xf numFmtId="9" fontId="46" fillId="0" borderId="57" xfId="4" applyFont="1" applyFill="1" applyBorder="1" applyAlignment="1">
      <alignment horizontal="center" vertical="center" wrapText="1"/>
    </xf>
    <xf numFmtId="0" fontId="46" fillId="0" borderId="51" xfId="4" applyNumberFormat="1" applyFont="1" applyFill="1" applyBorder="1" applyAlignment="1">
      <alignment horizontal="center" vertical="center" wrapText="1"/>
    </xf>
    <xf numFmtId="0" fontId="49" fillId="0" borderId="165" xfId="0" applyFont="1" applyBorder="1" applyAlignment="1">
      <alignment horizontal="center" vertical="center" wrapText="1"/>
    </xf>
    <xf numFmtId="0" fontId="48" fillId="0" borderId="49" xfId="0" applyFont="1" applyBorder="1" applyAlignment="1">
      <alignment horizontal="center" vertical="center" wrapText="1"/>
    </xf>
    <xf numFmtId="0" fontId="48" fillId="0" borderId="221" xfId="0" applyFont="1" applyBorder="1" applyAlignment="1">
      <alignment vertical="center" wrapText="1"/>
    </xf>
    <xf numFmtId="9" fontId="46" fillId="0" borderId="165" xfId="4" applyFont="1" applyFill="1" applyBorder="1" applyAlignment="1">
      <alignment horizontal="center" vertical="center" wrapText="1"/>
    </xf>
    <xf numFmtId="171" fontId="46" fillId="0" borderId="49" xfId="0" applyNumberFormat="1" applyFont="1" applyBorder="1" applyAlignment="1">
      <alignment horizontal="center" vertical="center" wrapText="1"/>
    </xf>
    <xf numFmtId="0" fontId="48" fillId="0" borderId="1" xfId="0" applyFont="1" applyBorder="1" applyAlignment="1">
      <alignment horizontal="center" vertical="center" wrapText="1"/>
    </xf>
    <xf numFmtId="171" fontId="46" fillId="0" borderId="53" xfId="0" applyNumberFormat="1" applyFont="1" applyBorder="1" applyAlignment="1">
      <alignment horizontal="center" vertical="center" wrapText="1"/>
    </xf>
    <xf numFmtId="0" fontId="46" fillId="0" borderId="1" xfId="0" applyFont="1" applyBorder="1" applyAlignment="1">
      <alignment horizontal="center" vertical="center"/>
    </xf>
    <xf numFmtId="0" fontId="46" fillId="0" borderId="53" xfId="0" applyFont="1" applyBorder="1" applyAlignment="1">
      <alignment horizontal="center" vertical="center"/>
    </xf>
    <xf numFmtId="0" fontId="46" fillId="0" borderId="13" xfId="0" applyFont="1" applyBorder="1" applyAlignment="1">
      <alignment vertical="center"/>
    </xf>
    <xf numFmtId="0" fontId="46" fillId="0" borderId="165" xfId="0" applyFont="1" applyBorder="1" applyAlignment="1">
      <alignment horizontal="center" vertical="center"/>
    </xf>
    <xf numFmtId="0" fontId="46" fillId="0" borderId="49" xfId="0" applyFont="1" applyBorder="1" applyAlignment="1">
      <alignment horizontal="center" vertical="center"/>
    </xf>
    <xf numFmtId="0" fontId="46" fillId="0" borderId="221" xfId="0" applyFont="1" applyBorder="1" applyAlignment="1">
      <alignment vertical="center"/>
    </xf>
    <xf numFmtId="0" fontId="46" fillId="0" borderId="165" xfId="0" applyFont="1" applyBorder="1" applyAlignment="1">
      <alignment horizontal="left" vertical="center" wrapText="1"/>
    </xf>
    <xf numFmtId="0" fontId="46" fillId="0" borderId="221" xfId="0" applyFont="1" applyBorder="1" applyAlignment="1">
      <alignment horizontal="center" vertical="center" wrapText="1"/>
    </xf>
    <xf numFmtId="0" fontId="46" fillId="0" borderId="1" xfId="0" applyFont="1" applyBorder="1" applyAlignment="1">
      <alignment horizontal="left" vertical="center" wrapText="1" readingOrder="1"/>
    </xf>
    <xf numFmtId="0" fontId="46" fillId="0" borderId="221" xfId="0" applyFont="1" applyBorder="1" applyAlignment="1">
      <alignment horizontal="center" vertical="center" wrapText="1" readingOrder="1"/>
    </xf>
    <xf numFmtId="165" fontId="46" fillId="0" borderId="165" xfId="4" applyNumberFormat="1" applyFont="1" applyFill="1" applyBorder="1" applyAlignment="1">
      <alignment horizontal="center" vertical="center" wrapText="1"/>
    </xf>
    <xf numFmtId="0" fontId="46" fillId="0" borderId="3" xfId="0" applyFont="1" applyBorder="1" applyAlignment="1">
      <alignment vertical="center"/>
    </xf>
    <xf numFmtId="165" fontId="46" fillId="0" borderId="1" xfId="4" applyNumberFormat="1" applyFont="1" applyFill="1" applyBorder="1" applyAlignment="1">
      <alignment horizontal="center" vertical="center" wrapText="1"/>
    </xf>
    <xf numFmtId="0" fontId="46" fillId="0" borderId="165" xfId="0" applyFont="1" applyBorder="1" applyAlignment="1">
      <alignment horizontal="left" vertical="center" wrapText="1" readingOrder="1"/>
    </xf>
    <xf numFmtId="0" fontId="46" fillId="0" borderId="46" xfId="0" applyFont="1" applyBorder="1" applyAlignment="1">
      <alignment horizontal="center" vertical="center" wrapText="1"/>
    </xf>
    <xf numFmtId="0" fontId="48" fillId="0" borderId="46" xfId="0" applyFont="1" applyBorder="1" applyAlignment="1">
      <alignment horizontal="left" vertical="center" wrapText="1"/>
    </xf>
    <xf numFmtId="0" fontId="48" fillId="0" borderId="46" xfId="0" applyFont="1" applyBorder="1" applyAlignment="1">
      <alignment horizontal="center" vertical="center" wrapText="1"/>
    </xf>
    <xf numFmtId="0" fontId="46" fillId="0" borderId="46" xfId="0" applyFont="1" applyBorder="1" applyAlignment="1">
      <alignment horizontal="center" vertical="center" wrapText="1" readingOrder="1"/>
    </xf>
    <xf numFmtId="0" fontId="46" fillId="0" borderId="46" xfId="0" applyFont="1" applyBorder="1" applyAlignment="1">
      <alignment horizontal="center" vertical="center"/>
    </xf>
    <xf numFmtId="0" fontId="46" fillId="0" borderId="65" xfId="0" applyFont="1" applyBorder="1" applyAlignment="1">
      <alignment horizontal="center" vertical="center" wrapText="1"/>
    </xf>
    <xf numFmtId="0" fontId="46" fillId="0" borderId="163" xfId="0" applyFont="1" applyBorder="1" applyAlignment="1">
      <alignment vertical="center"/>
    </xf>
    <xf numFmtId="9" fontId="46" fillId="0" borderId="228" xfId="4" applyFont="1" applyFill="1" applyBorder="1" applyAlignment="1">
      <alignment horizontal="center" vertical="center" wrapText="1"/>
    </xf>
    <xf numFmtId="9" fontId="46" fillId="0" borderId="46" xfId="0" applyNumberFormat="1" applyFont="1" applyBorder="1" applyAlignment="1">
      <alignment horizontal="center" vertical="center" wrapText="1"/>
    </xf>
    <xf numFmtId="0" fontId="46" fillId="0" borderId="163" xfId="1" applyFont="1" applyBorder="1" applyAlignment="1">
      <alignment horizontal="center" vertical="center"/>
    </xf>
    <xf numFmtId="165" fontId="46" fillId="0" borderId="46" xfId="4" applyNumberFormat="1" applyFont="1" applyFill="1" applyBorder="1" applyAlignment="1">
      <alignment horizontal="center" vertical="center" wrapText="1"/>
    </xf>
    <xf numFmtId="0" fontId="46" fillId="0" borderId="65" xfId="4" applyNumberFormat="1" applyFont="1" applyFill="1" applyBorder="1" applyAlignment="1">
      <alignment horizontal="center" vertical="center" wrapText="1"/>
    </xf>
    <xf numFmtId="0" fontId="46" fillId="0" borderId="57" xfId="0" applyFont="1" applyBorder="1" applyAlignment="1">
      <alignment horizontal="center" vertical="center"/>
    </xf>
    <xf numFmtId="0" fontId="46" fillId="0" borderId="222" xfId="0" applyFont="1" applyBorder="1" applyAlignment="1">
      <alignment vertical="center"/>
    </xf>
    <xf numFmtId="165" fontId="46" fillId="0" borderId="57" xfId="4" applyNumberFormat="1" applyFont="1" applyFill="1" applyBorder="1" applyAlignment="1">
      <alignment horizontal="center" vertical="center" wrapText="1"/>
    </xf>
    <xf numFmtId="0" fontId="49" fillId="0" borderId="165" xfId="0" applyFont="1" applyBorder="1" applyAlignment="1">
      <alignment horizontal="center" vertical="center"/>
    </xf>
    <xf numFmtId="0" fontId="49" fillId="0" borderId="1" xfId="0" applyFont="1" applyBorder="1" applyAlignment="1">
      <alignment horizontal="center" vertical="center"/>
    </xf>
    <xf numFmtId="9" fontId="48" fillId="0" borderId="1" xfId="4" applyFont="1" applyFill="1" applyBorder="1" applyAlignment="1">
      <alignment horizontal="center" vertical="center" wrapText="1"/>
    </xf>
    <xf numFmtId="0" fontId="49" fillId="0" borderId="57" xfId="0" applyFont="1" applyBorder="1" applyAlignment="1">
      <alignment horizontal="center" vertical="center"/>
    </xf>
    <xf numFmtId="0" fontId="46" fillId="0" borderId="165" xfId="0" applyFont="1" applyBorder="1" applyAlignment="1">
      <alignment vertical="center"/>
    </xf>
    <xf numFmtId="0" fontId="46" fillId="0" borderId="49" xfId="0" applyFont="1" applyBorder="1" applyAlignment="1">
      <alignment vertical="center"/>
    </xf>
    <xf numFmtId="0" fontId="46" fillId="0" borderId="47" xfId="0" applyFont="1" applyBorder="1" applyAlignment="1">
      <alignment vertical="center"/>
    </xf>
    <xf numFmtId="0" fontId="46" fillId="0" borderId="225" xfId="0" applyFont="1" applyBorder="1" applyAlignment="1">
      <alignment horizontal="center" vertical="center" wrapText="1"/>
    </xf>
    <xf numFmtId="0" fontId="46" fillId="0" borderId="47" xfId="1" applyFont="1" applyBorder="1" applyAlignment="1">
      <alignment horizontal="center" vertical="center"/>
    </xf>
    <xf numFmtId="0" fontId="46" fillId="0" borderId="226" xfId="0" applyFont="1" applyBorder="1" applyAlignment="1">
      <alignment horizontal="center" vertical="center" wrapText="1"/>
    </xf>
    <xf numFmtId="0" fontId="49" fillId="0" borderId="1" xfId="0" applyFont="1" applyBorder="1" applyAlignment="1">
      <alignment horizontal="left" vertical="center"/>
    </xf>
    <xf numFmtId="0" fontId="46" fillId="0" borderId="1" xfId="0" applyFont="1" applyBorder="1" applyAlignment="1">
      <alignment vertical="center"/>
    </xf>
    <xf numFmtId="0" fontId="46" fillId="0" borderId="53" xfId="0" applyFont="1" applyBorder="1" applyAlignment="1">
      <alignment vertical="center"/>
    </xf>
    <xf numFmtId="0" fontId="46" fillId="0" borderId="54" xfId="0" applyFont="1" applyBorder="1" applyAlignment="1">
      <alignment vertical="center"/>
    </xf>
    <xf numFmtId="0" fontId="46" fillId="0" borderId="2" xfId="0" applyFont="1" applyBorder="1" applyAlignment="1">
      <alignment horizontal="center" vertical="center" wrapText="1"/>
    </xf>
    <xf numFmtId="0" fontId="46" fillId="0" borderId="54" xfId="1" applyFont="1" applyBorder="1" applyAlignment="1">
      <alignment horizontal="center" vertical="center"/>
    </xf>
    <xf numFmtId="0" fontId="46" fillId="0" borderId="3" xfId="0" applyFont="1" applyBorder="1" applyAlignment="1">
      <alignment horizontal="center" vertical="center" wrapText="1"/>
    </xf>
    <xf numFmtId="0" fontId="49" fillId="0" borderId="57" xfId="0" applyFont="1" applyBorder="1" applyAlignment="1">
      <alignment horizontal="left" vertical="center"/>
    </xf>
    <xf numFmtId="0" fontId="46" fillId="0" borderId="57" xfId="0" applyFont="1" applyBorder="1" applyAlignment="1">
      <alignment vertical="center"/>
    </xf>
    <xf numFmtId="0" fontId="46" fillId="0" borderId="51" xfId="0" applyFont="1" applyBorder="1" applyAlignment="1">
      <alignment vertical="center"/>
    </xf>
    <xf numFmtId="0" fontId="46" fillId="0" borderId="128" xfId="0" applyFont="1" applyBorder="1" applyAlignment="1">
      <alignment vertical="center"/>
    </xf>
    <xf numFmtId="0" fontId="46" fillId="0" borderId="192" xfId="0" applyFont="1" applyBorder="1" applyAlignment="1">
      <alignment horizontal="center" vertical="center" wrapText="1"/>
    </xf>
    <xf numFmtId="0" fontId="46" fillId="0" borderId="128" xfId="1" applyFont="1" applyBorder="1" applyAlignment="1">
      <alignment horizontal="center" vertical="center"/>
    </xf>
    <xf numFmtId="0" fontId="46" fillId="0" borderId="227" xfId="0" applyFont="1" applyBorder="1" applyAlignment="1">
      <alignment horizontal="center" vertical="center" wrapText="1"/>
    </xf>
    <xf numFmtId="0" fontId="46" fillId="0" borderId="57" xfId="0" applyFont="1" applyBorder="1" applyAlignment="1">
      <alignment horizontal="left" vertical="center" wrapText="1" readingOrder="1"/>
    </xf>
    <xf numFmtId="0" fontId="46" fillId="0" borderId="62" xfId="0" applyFont="1" applyBorder="1" applyAlignment="1">
      <alignment horizontal="center" vertical="center" wrapText="1"/>
    </xf>
    <xf numFmtId="0" fontId="46" fillId="0" borderId="62" xfId="0" applyFont="1" applyBorder="1" applyAlignment="1">
      <alignment horizontal="left" vertical="center" wrapText="1" readingOrder="1"/>
    </xf>
    <xf numFmtId="0" fontId="46" fillId="0" borderId="62" xfId="0" applyFont="1" applyBorder="1" applyAlignment="1">
      <alignment horizontal="center" vertical="center" wrapText="1" readingOrder="1"/>
    </xf>
    <xf numFmtId="0" fontId="46" fillId="0" borderId="68" xfId="0" applyFont="1" applyBorder="1" applyAlignment="1">
      <alignment horizontal="center" vertical="center"/>
    </xf>
    <xf numFmtId="9" fontId="46" fillId="0" borderId="64" xfId="4" applyFont="1" applyFill="1" applyBorder="1" applyAlignment="1">
      <alignment horizontal="center" vertical="center" wrapText="1"/>
    </xf>
    <xf numFmtId="9" fontId="46" fillId="0" borderId="62" xfId="0" applyNumberFormat="1" applyFont="1" applyBorder="1" applyAlignment="1">
      <alignment horizontal="center" vertical="center" wrapText="1"/>
    </xf>
    <xf numFmtId="9" fontId="46" fillId="0" borderId="62" xfId="4" applyFont="1" applyFill="1" applyBorder="1" applyAlignment="1">
      <alignment horizontal="center" vertical="center" wrapText="1"/>
    </xf>
    <xf numFmtId="0" fontId="46" fillId="0" borderId="68" xfId="0" applyFont="1" applyBorder="1" applyAlignment="1">
      <alignment horizontal="center" vertical="center" wrapText="1"/>
    </xf>
    <xf numFmtId="0" fontId="46" fillId="0" borderId="150" xfId="1" applyFont="1" applyBorder="1" applyAlignment="1">
      <alignment horizontal="center" vertical="center"/>
    </xf>
    <xf numFmtId="0" fontId="32" fillId="0" borderId="71" xfId="0" applyFont="1" applyBorder="1" applyAlignment="1">
      <alignment vertical="center"/>
    </xf>
    <xf numFmtId="0" fontId="32" fillId="0" borderId="62" xfId="0" applyFont="1" applyBorder="1" applyAlignment="1">
      <alignment vertical="center" wrapText="1"/>
    </xf>
    <xf numFmtId="0" fontId="46" fillId="0" borderId="1" xfId="0" applyFont="1" applyBorder="1" applyAlignment="1">
      <alignment horizontal="left" wrapText="1"/>
    </xf>
    <xf numFmtId="9" fontId="46" fillId="0" borderId="46" xfId="0" applyNumberFormat="1" applyFont="1" applyBorder="1" applyAlignment="1">
      <alignment horizontal="left" vertical="center" wrapText="1"/>
    </xf>
    <xf numFmtId="0" fontId="32" fillId="0" borderId="33" xfId="0" applyFont="1" applyBorder="1" applyAlignment="1">
      <alignment vertical="center"/>
    </xf>
    <xf numFmtId="9" fontId="46" fillId="0" borderId="1" xfId="4" applyFont="1" applyFill="1" applyBorder="1" applyAlignment="1">
      <alignment horizontal="center" vertical="center" wrapText="1" readingOrder="1"/>
    </xf>
    <xf numFmtId="0" fontId="46" fillId="0" borderId="57" xfId="0" applyFont="1" applyBorder="1" applyAlignment="1">
      <alignment horizontal="left" vertical="center" wrapText="1"/>
    </xf>
    <xf numFmtId="0" fontId="46" fillId="0" borderId="57" xfId="0" applyFont="1" applyBorder="1" applyAlignment="1">
      <alignment horizontal="left" wrapText="1"/>
    </xf>
    <xf numFmtId="0" fontId="46" fillId="0" borderId="51" xfId="0" applyFont="1" applyBorder="1" applyAlignment="1">
      <alignment horizontal="center" vertical="center"/>
    </xf>
    <xf numFmtId="9" fontId="46" fillId="0" borderId="214" xfId="0" applyNumberFormat="1" applyFont="1" applyBorder="1" applyAlignment="1">
      <alignment horizontal="center" vertical="center" wrapText="1"/>
    </xf>
    <xf numFmtId="0" fontId="43" fillId="0" borderId="164" xfId="0" applyFont="1" applyBorder="1" applyAlignment="1">
      <alignment horizontal="center" vertical="center" wrapText="1" readingOrder="1"/>
    </xf>
    <xf numFmtId="0" fontId="43" fillId="0" borderId="165" xfId="0" applyFont="1" applyBorder="1" applyAlignment="1">
      <alignment horizontal="center" vertical="center" wrapText="1" readingOrder="1"/>
    </xf>
    <xf numFmtId="0" fontId="43" fillId="0" borderId="49" xfId="0" applyFont="1" applyBorder="1" applyAlignment="1">
      <alignment horizontal="center" vertical="center" wrapText="1" readingOrder="1"/>
    </xf>
    <xf numFmtId="9" fontId="32" fillId="0" borderId="164" xfId="4" applyFont="1" applyFill="1" applyBorder="1" applyAlignment="1">
      <alignment horizontal="center" vertical="center" wrapText="1"/>
    </xf>
    <xf numFmtId="9" fontId="32" fillId="0" borderId="165" xfId="4" applyFont="1" applyFill="1" applyBorder="1" applyAlignment="1">
      <alignment horizontal="center" vertical="center" wrapText="1"/>
    </xf>
    <xf numFmtId="0" fontId="32" fillId="0" borderId="165" xfId="4" applyNumberFormat="1" applyFont="1" applyFill="1" applyBorder="1" applyAlignment="1">
      <alignment horizontal="center" vertical="center" wrapText="1"/>
    </xf>
    <xf numFmtId="0" fontId="32" fillId="0" borderId="49" xfId="4" applyNumberFormat="1" applyFont="1" applyFill="1" applyBorder="1" applyAlignment="1">
      <alignment horizontal="center" vertical="center" wrapText="1"/>
    </xf>
    <xf numFmtId="0" fontId="32" fillId="0" borderId="164" xfId="4" applyNumberFormat="1" applyFont="1" applyFill="1" applyBorder="1" applyAlignment="1">
      <alignment horizontal="center" vertical="center" wrapText="1"/>
    </xf>
    <xf numFmtId="0" fontId="43" fillId="0" borderId="52" xfId="0" applyFont="1" applyBorder="1" applyAlignment="1">
      <alignment horizontal="center" vertical="center" wrapText="1" readingOrder="1"/>
    </xf>
    <xf numFmtId="0" fontId="43" fillId="0" borderId="1" xfId="0" applyFont="1" applyBorder="1" applyAlignment="1">
      <alignment horizontal="center" vertical="center" wrapText="1" readingOrder="1"/>
    </xf>
    <xf numFmtId="0" fontId="43" fillId="0" borderId="53" xfId="0" applyFont="1" applyBorder="1" applyAlignment="1">
      <alignment horizontal="center" vertical="center" wrapText="1" readingOrder="1"/>
    </xf>
    <xf numFmtId="9" fontId="32" fillId="0" borderId="52" xfId="4" applyFont="1" applyFill="1" applyBorder="1" applyAlignment="1">
      <alignment horizontal="center" vertical="center" wrapText="1"/>
    </xf>
    <xf numFmtId="9" fontId="32" fillId="0" borderId="1" xfId="4" applyFont="1" applyFill="1" applyBorder="1" applyAlignment="1">
      <alignment horizontal="center" vertical="center" wrapText="1"/>
    </xf>
    <xf numFmtId="0" fontId="32" fillId="0" borderId="1" xfId="4" applyNumberFormat="1" applyFont="1" applyFill="1" applyBorder="1" applyAlignment="1">
      <alignment horizontal="center" vertical="center" wrapText="1"/>
    </xf>
    <xf numFmtId="0" fontId="32" fillId="0" borderId="53" xfId="4" applyNumberFormat="1" applyFont="1" applyFill="1" applyBorder="1" applyAlignment="1">
      <alignment horizontal="center" vertical="center" wrapText="1"/>
    </xf>
    <xf numFmtId="0" fontId="32" fillId="0" borderId="52" xfId="4" applyNumberFormat="1" applyFont="1" applyFill="1" applyBorder="1" applyAlignment="1">
      <alignment horizontal="center" vertical="center" wrapText="1"/>
    </xf>
    <xf numFmtId="0" fontId="43" fillId="0" borderId="1" xfId="0" applyFont="1" applyBorder="1" applyAlignment="1">
      <alignment horizontal="center" vertical="center" wrapText="1"/>
    </xf>
    <xf numFmtId="9" fontId="32" fillId="0" borderId="1" xfId="0" applyNumberFormat="1" applyFont="1" applyBorder="1" applyAlignment="1">
      <alignment horizontal="center" vertical="center" wrapText="1"/>
    </xf>
    <xf numFmtId="0" fontId="43" fillId="0" borderId="1" xfId="0" applyFont="1" applyBorder="1" applyAlignment="1">
      <alignment horizontal="left" vertical="center" wrapText="1"/>
    </xf>
    <xf numFmtId="9" fontId="43" fillId="0" borderId="1" xfId="0" applyNumberFormat="1" applyFont="1" applyBorder="1" applyAlignment="1">
      <alignment horizontal="center" vertical="center" wrapText="1"/>
    </xf>
    <xf numFmtId="0" fontId="32" fillId="0" borderId="53" xfId="0" applyFont="1" applyBorder="1" applyAlignment="1">
      <alignment horizontal="center" vertical="center" wrapText="1"/>
    </xf>
    <xf numFmtId="9" fontId="21" fillId="0" borderId="52" xfId="0" applyNumberFormat="1" applyFont="1" applyBorder="1" applyAlignment="1">
      <alignment horizontal="center" vertical="center" wrapText="1"/>
    </xf>
    <xf numFmtId="0" fontId="44" fillId="0" borderId="1" xfId="0" applyFont="1" applyBorder="1" applyAlignment="1">
      <alignment horizontal="center" vertical="center" wrapText="1" readingOrder="1"/>
    </xf>
    <xf numFmtId="0" fontId="44" fillId="0" borderId="53" xfId="0" applyFont="1" applyBorder="1" applyAlignment="1">
      <alignment horizontal="center" vertical="center" wrapText="1" readingOrder="1"/>
    </xf>
    <xf numFmtId="0" fontId="32" fillId="0" borderId="52" xfId="0" applyFont="1" applyBorder="1" applyAlignment="1">
      <alignment horizontal="center" vertical="center" wrapText="1"/>
    </xf>
    <xf numFmtId="0" fontId="43" fillId="0" borderId="50" xfId="0" applyFont="1" applyBorder="1" applyAlignment="1">
      <alignment horizontal="center" vertical="center" wrapText="1" readingOrder="1"/>
    </xf>
    <xf numFmtId="0" fontId="43" fillId="0" borderId="57" xfId="0" applyFont="1" applyBorder="1" applyAlignment="1">
      <alignment horizontal="center" vertical="center" wrapText="1" readingOrder="1"/>
    </xf>
    <xf numFmtId="0" fontId="43" fillId="0" borderId="51" xfId="0" applyFont="1" applyBorder="1" applyAlignment="1">
      <alignment horizontal="center" vertical="center" wrapText="1" readingOrder="1"/>
    </xf>
    <xf numFmtId="9" fontId="32" fillId="0" borderId="50" xfId="4" applyFont="1" applyFill="1" applyBorder="1" applyAlignment="1">
      <alignment horizontal="center" vertical="center" wrapText="1"/>
    </xf>
    <xf numFmtId="9" fontId="32" fillId="0" borderId="57" xfId="4" applyFont="1" applyFill="1" applyBorder="1" applyAlignment="1">
      <alignment horizontal="center" vertical="center" wrapText="1"/>
    </xf>
    <xf numFmtId="0" fontId="32" fillId="0" borderId="57" xfId="4" applyNumberFormat="1" applyFont="1" applyFill="1" applyBorder="1" applyAlignment="1">
      <alignment horizontal="center" vertical="center" wrapText="1"/>
    </xf>
    <xf numFmtId="0" fontId="32" fillId="0" borderId="51" xfId="4" applyNumberFormat="1" applyFont="1" applyFill="1" applyBorder="1" applyAlignment="1">
      <alignment horizontal="center" vertical="center" wrapText="1"/>
    </xf>
    <xf numFmtId="0" fontId="32" fillId="0" borderId="50" xfId="0" applyFont="1" applyBorder="1" applyAlignment="1">
      <alignment horizontal="center" vertical="center" wrapText="1"/>
    </xf>
    <xf numFmtId="0" fontId="32" fillId="0" borderId="57" xfId="0" applyFont="1" applyBorder="1" applyAlignment="1">
      <alignment horizontal="center" vertical="center" wrapText="1"/>
    </xf>
    <xf numFmtId="0" fontId="32" fillId="0" borderId="51" xfId="0" applyFont="1" applyBorder="1" applyAlignment="1">
      <alignment horizontal="center" vertical="center" wrapText="1"/>
    </xf>
    <xf numFmtId="0" fontId="21" fillId="0" borderId="164" xfId="0" applyFont="1" applyBorder="1" applyAlignment="1">
      <alignment horizontal="center" vertical="center"/>
    </xf>
    <xf numFmtId="0" fontId="32" fillId="0" borderId="165" xfId="1" applyFont="1" applyBorder="1" applyAlignment="1">
      <alignment horizontal="center" vertical="center"/>
    </xf>
    <xf numFmtId="0" fontId="43" fillId="0" borderId="165" xfId="0" applyFont="1" applyBorder="1" applyAlignment="1">
      <alignment horizontal="center" vertical="center" wrapText="1"/>
    </xf>
    <xf numFmtId="0" fontId="44" fillId="0" borderId="49" xfId="0" applyFont="1" applyBorder="1" applyAlignment="1">
      <alignment horizontal="center" vertical="center" wrapText="1" readingOrder="1"/>
    </xf>
    <xf numFmtId="0" fontId="43" fillId="0" borderId="62" xfId="0" applyFont="1" applyBorder="1" applyAlignment="1">
      <alignment horizontal="center" vertical="center" wrapText="1"/>
    </xf>
    <xf numFmtId="9" fontId="32" fillId="0" borderId="164" xfId="0" applyNumberFormat="1" applyFont="1" applyBorder="1" applyAlignment="1">
      <alignment horizontal="center" vertical="center" wrapText="1"/>
    </xf>
    <xf numFmtId="0" fontId="32" fillId="0" borderId="165" xfId="0" applyFont="1" applyBorder="1" applyAlignment="1">
      <alignment horizontal="center" vertical="center" wrapText="1"/>
    </xf>
    <xf numFmtId="9" fontId="43" fillId="0" borderId="165" xfId="0" applyNumberFormat="1" applyFont="1" applyBorder="1" applyAlignment="1">
      <alignment horizontal="center" vertical="center" wrapText="1"/>
    </xf>
    <xf numFmtId="0" fontId="21" fillId="0" borderId="52" xfId="0" applyFont="1" applyBorder="1" applyAlignment="1">
      <alignment horizontal="center" vertical="center"/>
    </xf>
    <xf numFmtId="9" fontId="32" fillId="0" borderId="52" xfId="0" applyNumberFormat="1" applyFont="1" applyBorder="1" applyAlignment="1">
      <alignment horizontal="center" vertical="center" wrapText="1"/>
    </xf>
    <xf numFmtId="9" fontId="32" fillId="0" borderId="52" xfId="16" applyFont="1" applyFill="1" applyBorder="1" applyAlignment="1">
      <alignment horizontal="center" vertical="center" wrapText="1"/>
    </xf>
    <xf numFmtId="0" fontId="21" fillId="0" borderId="50" xfId="0" applyFont="1" applyBorder="1" applyAlignment="1">
      <alignment horizontal="center" vertical="center"/>
    </xf>
    <xf numFmtId="0" fontId="32" fillId="0" borderId="57" xfId="1" applyFont="1" applyBorder="1" applyAlignment="1">
      <alignment horizontal="center" vertical="center"/>
    </xf>
    <xf numFmtId="0" fontId="43" fillId="0" borderId="57" xfId="0" applyFont="1" applyBorder="1" applyAlignment="1">
      <alignment horizontal="center" vertical="center" wrapText="1"/>
    </xf>
    <xf numFmtId="0" fontId="44" fillId="0" borderId="57" xfId="0" applyFont="1" applyBorder="1" applyAlignment="1">
      <alignment horizontal="center" vertical="center" wrapText="1" readingOrder="1"/>
    </xf>
    <xf numFmtId="0" fontId="44" fillId="0" borderId="51" xfId="0" applyFont="1" applyBorder="1" applyAlignment="1">
      <alignment horizontal="center" vertical="center" wrapText="1" readingOrder="1"/>
    </xf>
    <xf numFmtId="0" fontId="32" fillId="0" borderId="164" xfId="0" applyFont="1" applyBorder="1" applyAlignment="1">
      <alignment horizontal="center" vertical="center" wrapText="1" readingOrder="1"/>
    </xf>
    <xf numFmtId="0" fontId="32" fillId="0" borderId="165" xfId="0" applyFont="1" applyBorder="1" applyAlignment="1">
      <alignment horizontal="center" vertical="center" wrapText="1" readingOrder="1"/>
    </xf>
    <xf numFmtId="0" fontId="32" fillId="0" borderId="165" xfId="0" applyFont="1" applyBorder="1" applyAlignment="1">
      <alignment horizontal="left" vertical="center" wrapText="1" readingOrder="1"/>
    </xf>
    <xf numFmtId="0" fontId="32" fillId="0" borderId="49" xfId="0" applyFont="1" applyBorder="1" applyAlignment="1">
      <alignment horizontal="center" vertical="center" wrapText="1" readingOrder="1"/>
    </xf>
    <xf numFmtId="0" fontId="32" fillId="0" borderId="164" xfId="0" applyFont="1" applyBorder="1" applyAlignment="1">
      <alignment horizontal="center" vertical="center" wrapText="1"/>
    </xf>
    <xf numFmtId="0" fontId="32" fillId="0" borderId="49" xfId="0" applyFont="1" applyBorder="1" applyAlignment="1">
      <alignment horizontal="center" vertical="center" wrapText="1"/>
    </xf>
    <xf numFmtId="0" fontId="32" fillId="0" borderId="52" xfId="0" applyFont="1" applyBorder="1" applyAlignment="1">
      <alignment horizontal="center" vertical="center" wrapText="1" readingOrder="1"/>
    </xf>
    <xf numFmtId="0" fontId="32" fillId="0" borderId="1" xfId="0" applyFont="1" applyBorder="1" applyAlignment="1">
      <alignment horizontal="center" vertical="center" wrapText="1" readingOrder="1"/>
    </xf>
    <xf numFmtId="0" fontId="32" fillId="0" borderId="1" xfId="0" applyFont="1" applyBorder="1" applyAlignment="1">
      <alignment horizontal="left" vertical="center" wrapText="1" readingOrder="1"/>
    </xf>
    <xf numFmtId="0" fontId="32" fillId="0" borderId="53" xfId="0" applyFont="1" applyBorder="1" applyAlignment="1">
      <alignment horizontal="center" vertical="center" wrapText="1" readingOrder="1"/>
    </xf>
    <xf numFmtId="9" fontId="32" fillId="0" borderId="1" xfId="4" applyFont="1" applyFill="1" applyBorder="1" applyAlignment="1">
      <alignment horizontal="left" vertical="center" wrapText="1"/>
    </xf>
    <xf numFmtId="0" fontId="32" fillId="0" borderId="50" xfId="0" applyFont="1" applyBorder="1" applyAlignment="1">
      <alignment horizontal="center" vertical="center" wrapText="1" readingOrder="1"/>
    </xf>
    <xf numFmtId="0" fontId="32" fillId="0" borderId="57" xfId="0" applyFont="1" applyBorder="1" applyAlignment="1">
      <alignment horizontal="center" vertical="center" wrapText="1" readingOrder="1"/>
    </xf>
    <xf numFmtId="0" fontId="32" fillId="0" borderId="57" xfId="0" applyFont="1" applyBorder="1" applyAlignment="1">
      <alignment horizontal="left" vertical="center" wrapText="1" readingOrder="1"/>
    </xf>
    <xf numFmtId="0" fontId="32" fillId="0" borderId="51" xfId="0" applyFont="1" applyBorder="1" applyAlignment="1">
      <alignment horizontal="center" vertical="center" wrapText="1" readingOrder="1"/>
    </xf>
    <xf numFmtId="0" fontId="32" fillId="0" borderId="164" xfId="0" applyFont="1" applyBorder="1" applyAlignment="1">
      <alignment horizontal="center" vertical="center"/>
    </xf>
    <xf numFmtId="0" fontId="32" fillId="0" borderId="52" xfId="0" applyFont="1" applyBorder="1" applyAlignment="1">
      <alignment horizontal="center" vertical="center"/>
    </xf>
    <xf numFmtId="0" fontId="43" fillId="0" borderId="1" xfId="0" applyFont="1" applyBorder="1" applyAlignment="1">
      <alignment vertical="center" wrapText="1"/>
    </xf>
    <xf numFmtId="0" fontId="32" fillId="0" borderId="53" xfId="7" applyFont="1" applyBorder="1" applyAlignment="1">
      <alignment horizontal="center" vertical="center" wrapText="1" readingOrder="1"/>
    </xf>
    <xf numFmtId="0" fontId="32" fillId="0" borderId="50" xfId="0" applyFont="1" applyBorder="1" applyAlignment="1">
      <alignment horizontal="center" vertical="center"/>
    </xf>
    <xf numFmtId="9" fontId="32" fillId="0" borderId="57" xfId="0" applyNumberFormat="1" applyFont="1" applyBorder="1" applyAlignment="1">
      <alignment horizontal="center" vertical="center" wrapText="1"/>
    </xf>
    <xf numFmtId="9" fontId="43" fillId="0" borderId="57" xfId="0" applyNumberFormat="1" applyFont="1" applyBorder="1" applyAlignment="1">
      <alignment horizontal="center" vertical="center" wrapText="1"/>
    </xf>
    <xf numFmtId="9" fontId="32" fillId="0" borderId="50" xfId="0" applyNumberFormat="1" applyFont="1" applyBorder="1" applyAlignment="1">
      <alignment horizontal="center" vertical="center" wrapText="1"/>
    </xf>
    <xf numFmtId="9" fontId="32" fillId="0" borderId="165" xfId="0" applyNumberFormat="1" applyFont="1" applyBorder="1" applyAlignment="1">
      <alignment horizontal="center" vertical="center" wrapText="1"/>
    </xf>
    <xf numFmtId="0" fontId="43" fillId="0" borderId="214" xfId="0" applyFont="1" applyBorder="1" applyAlignment="1">
      <alignment horizontal="center" vertical="center" wrapText="1"/>
    </xf>
    <xf numFmtId="49" fontId="41" fillId="0" borderId="0" xfId="1" applyNumberFormat="1" applyFont="1" applyAlignment="1">
      <alignment vertical="center"/>
    </xf>
    <xf numFmtId="0" fontId="46" fillId="0" borderId="216" xfId="0" applyFont="1" applyBorder="1" applyAlignment="1">
      <alignment horizontal="center" vertical="center" wrapText="1"/>
    </xf>
    <xf numFmtId="0" fontId="32" fillId="0" borderId="36" xfId="1" applyFont="1" applyBorder="1" applyAlignment="1">
      <alignment horizontal="left" vertical="center"/>
    </xf>
    <xf numFmtId="0" fontId="46" fillId="0" borderId="36" xfId="1" applyFont="1" applyBorder="1" applyAlignment="1">
      <alignment horizontal="center" vertical="center"/>
    </xf>
    <xf numFmtId="9" fontId="32" fillId="0" borderId="36" xfId="1" applyNumberFormat="1" applyFont="1" applyBorder="1" applyAlignment="1">
      <alignment horizontal="center" vertical="center"/>
    </xf>
    <xf numFmtId="168" fontId="21" fillId="15" borderId="229" xfId="0" applyNumberFormat="1" applyFont="1" applyFill="1" applyBorder="1" applyAlignment="1">
      <alignment vertical="center"/>
    </xf>
    <xf numFmtId="170" fontId="21" fillId="15" borderId="229" xfId="0" applyNumberFormat="1" applyFont="1" applyFill="1" applyBorder="1" applyAlignment="1">
      <alignment vertical="center"/>
    </xf>
    <xf numFmtId="0" fontId="46" fillId="0" borderId="230" xfId="0" applyFont="1" applyBorder="1" applyAlignment="1">
      <alignment horizontal="center" vertical="center"/>
    </xf>
    <xf numFmtId="0" fontId="46" fillId="0" borderId="231" xfId="0" applyFont="1" applyBorder="1" applyAlignment="1">
      <alignment horizontal="left" vertical="center" wrapText="1"/>
    </xf>
    <xf numFmtId="0" fontId="46" fillId="0" borderId="231" xfId="0" applyFont="1" applyBorder="1" applyAlignment="1">
      <alignment horizontal="center" vertical="center" wrapText="1"/>
    </xf>
    <xf numFmtId="0" fontId="46" fillId="0" borderId="232" xfId="0" applyFont="1" applyBorder="1" applyAlignment="1">
      <alignment vertical="center"/>
    </xf>
    <xf numFmtId="9" fontId="46" fillId="0" borderId="216" xfId="0" applyNumberFormat="1" applyFont="1" applyBorder="1" applyAlignment="1">
      <alignment horizontal="center" vertical="center" wrapText="1"/>
    </xf>
    <xf numFmtId="9" fontId="46" fillId="0" borderId="216" xfId="0" applyNumberFormat="1" applyFont="1" applyBorder="1" applyAlignment="1">
      <alignment horizontal="left" vertical="center" wrapText="1"/>
    </xf>
    <xf numFmtId="0" fontId="32" fillId="0" borderId="233" xfId="1" applyFont="1" applyBorder="1" applyAlignment="1">
      <alignment horizontal="center" vertical="center"/>
    </xf>
    <xf numFmtId="167" fontId="21" fillId="13" borderId="1" xfId="0" applyNumberFormat="1" applyFont="1" applyFill="1" applyBorder="1"/>
    <xf numFmtId="168" fontId="21" fillId="13" borderId="205" xfId="0" applyNumberFormat="1" applyFont="1" applyFill="1" applyBorder="1"/>
    <xf numFmtId="0" fontId="46" fillId="0" borderId="0" xfId="0" applyFont="1" applyAlignment="1">
      <alignment vertical="center"/>
    </xf>
    <xf numFmtId="0" fontId="46" fillId="0" borderId="46" xfId="0" applyFont="1" applyBorder="1" applyAlignment="1">
      <alignment horizontal="left" wrapText="1"/>
    </xf>
    <xf numFmtId="0" fontId="46" fillId="0" borderId="65" xfId="0" applyFont="1" applyBorder="1" applyAlignment="1">
      <alignment horizontal="center" vertical="center"/>
    </xf>
    <xf numFmtId="9" fontId="46" fillId="0" borderId="46" xfId="4" applyFont="1" applyFill="1" applyBorder="1" applyAlignment="1">
      <alignment horizontal="center" vertical="center" wrapText="1"/>
    </xf>
    <xf numFmtId="0" fontId="46" fillId="0" borderId="217" xfId="0" applyFont="1" applyBorder="1" applyAlignment="1">
      <alignment horizontal="left" vertical="center" wrapText="1"/>
    </xf>
    <xf numFmtId="9" fontId="46" fillId="0" borderId="1" xfId="0" applyNumberFormat="1" applyFont="1" applyBorder="1" applyAlignment="1">
      <alignment horizontal="left" vertical="center" wrapText="1"/>
    </xf>
    <xf numFmtId="0" fontId="46" fillId="0" borderId="216" xfId="0" applyFont="1" applyBorder="1" applyAlignment="1">
      <alignment vertical="center" wrapText="1"/>
    </xf>
    <xf numFmtId="0" fontId="46" fillId="0" borderId="46" xfId="0" applyFont="1" applyBorder="1" applyAlignment="1">
      <alignment vertical="center" wrapText="1"/>
    </xf>
    <xf numFmtId="0" fontId="46" fillId="0" borderId="57" xfId="0" applyFont="1" applyBorder="1" applyAlignment="1">
      <alignment vertical="center" wrapText="1"/>
    </xf>
    <xf numFmtId="9" fontId="46" fillId="0" borderId="234" xfId="4" applyFont="1" applyFill="1" applyBorder="1" applyAlignment="1">
      <alignment horizontal="center" vertical="center" wrapText="1"/>
    </xf>
    <xf numFmtId="0" fontId="46" fillId="0" borderId="1" xfId="0" applyFont="1" applyBorder="1" applyAlignment="1">
      <alignment horizontal="center" wrapText="1"/>
    </xf>
    <xf numFmtId="0" fontId="31" fillId="0" borderId="0" xfId="1" applyFont="1" applyAlignment="1">
      <alignment horizontal="center" vertical="center" wrapText="1"/>
    </xf>
    <xf numFmtId="0" fontId="71" fillId="2" borderId="0" xfId="1" applyFont="1" applyFill="1" applyAlignment="1">
      <alignment horizontal="center" vertical="center"/>
    </xf>
    <xf numFmtId="0" fontId="72" fillId="2" borderId="0" xfId="1" applyFont="1" applyFill="1" applyAlignment="1">
      <alignment horizontal="center" vertical="center" wrapText="1"/>
    </xf>
    <xf numFmtId="0" fontId="23" fillId="4" borderId="5" xfId="1" applyFont="1" applyFill="1" applyBorder="1" applyAlignment="1">
      <alignment horizontal="center" vertical="center"/>
    </xf>
    <xf numFmtId="0" fontId="23" fillId="4" borderId="6" xfId="1" applyFont="1" applyFill="1" applyBorder="1" applyAlignment="1">
      <alignment horizontal="center" vertical="center"/>
    </xf>
    <xf numFmtId="0" fontId="23" fillId="4" borderId="8" xfId="1" applyFont="1" applyFill="1" applyBorder="1" applyAlignment="1">
      <alignment horizontal="center" vertical="center"/>
    </xf>
    <xf numFmtId="0" fontId="23" fillId="4" borderId="9" xfId="1" applyFont="1" applyFill="1" applyBorder="1" applyAlignment="1">
      <alignment horizontal="center" vertical="center"/>
    </xf>
    <xf numFmtId="0" fontId="23" fillId="4" borderId="11" xfId="1" applyFont="1" applyFill="1" applyBorder="1" applyAlignment="1">
      <alignment horizontal="center" vertical="center"/>
    </xf>
    <xf numFmtId="0" fontId="23" fillId="4" borderId="12" xfId="1" applyFont="1" applyFill="1" applyBorder="1" applyAlignment="1">
      <alignment horizontal="center" vertical="center"/>
    </xf>
    <xf numFmtId="49" fontId="25" fillId="3" borderId="2" xfId="1" applyNumberFormat="1" applyFont="1" applyFill="1" applyBorder="1" applyAlignment="1">
      <alignment horizontal="center" vertical="center"/>
    </xf>
    <xf numFmtId="49" fontId="25" fillId="3" borderId="13" xfId="1" applyNumberFormat="1" applyFont="1" applyFill="1" applyBorder="1" applyAlignment="1">
      <alignment horizontal="center" vertical="center"/>
    </xf>
    <xf numFmtId="49" fontId="25" fillId="3" borderId="3" xfId="1" applyNumberFormat="1" applyFont="1" applyFill="1" applyBorder="1" applyAlignment="1">
      <alignment horizontal="center" vertical="center"/>
    </xf>
    <xf numFmtId="49" fontId="26" fillId="3" borderId="14" xfId="1" applyNumberFormat="1" applyFont="1" applyFill="1" applyBorder="1" applyAlignment="1">
      <alignment horizontal="center" vertical="center"/>
    </xf>
    <xf numFmtId="49" fontId="26" fillId="3" borderId="15" xfId="1" applyNumberFormat="1" applyFont="1" applyFill="1" applyBorder="1" applyAlignment="1">
      <alignment horizontal="center" vertical="center"/>
    </xf>
    <xf numFmtId="0" fontId="47" fillId="2" borderId="5" xfId="1" applyFont="1" applyFill="1" applyBorder="1" applyAlignment="1">
      <alignment horizontal="center" vertical="center"/>
    </xf>
    <xf numFmtId="0" fontId="47" fillId="2" borderId="6" xfId="1" applyFont="1" applyFill="1" applyBorder="1" applyAlignment="1">
      <alignment horizontal="center" vertical="center"/>
    </xf>
    <xf numFmtId="49" fontId="26" fillId="3" borderId="16" xfId="1" applyNumberFormat="1" applyFont="1" applyFill="1" applyBorder="1" applyAlignment="1">
      <alignment horizontal="center" vertical="center"/>
    </xf>
    <xf numFmtId="49" fontId="26" fillId="3" borderId="17" xfId="1" applyNumberFormat="1" applyFont="1" applyFill="1" applyBorder="1" applyAlignment="1">
      <alignment horizontal="center" vertical="center"/>
    </xf>
    <xf numFmtId="0" fontId="47" fillId="2" borderId="18" xfId="1" applyFont="1" applyFill="1" applyBorder="1" applyAlignment="1">
      <alignment horizontal="center" vertical="center"/>
    </xf>
    <xf numFmtId="0" fontId="47" fillId="2" borderId="19" xfId="1" applyFont="1" applyFill="1" applyBorder="1" applyAlignment="1">
      <alignment horizontal="center" vertical="center"/>
    </xf>
    <xf numFmtId="0" fontId="26" fillId="3" borderId="200" xfId="1" applyFont="1" applyFill="1" applyBorder="1" applyAlignment="1">
      <alignment horizontal="center" vertical="center" wrapText="1"/>
    </xf>
    <xf numFmtId="0" fontId="26" fillId="3" borderId="13" xfId="1" applyFont="1" applyFill="1" applyBorder="1" applyAlignment="1">
      <alignment horizontal="center" vertical="center" wrapText="1"/>
    </xf>
    <xf numFmtId="0" fontId="26" fillId="3" borderId="190" xfId="1" applyFont="1" applyFill="1" applyBorder="1" applyAlignment="1">
      <alignment horizontal="center" vertical="center" wrapText="1"/>
    </xf>
    <xf numFmtId="0" fontId="76" fillId="3" borderId="16" xfId="1" applyFont="1" applyFill="1" applyBorder="1" applyAlignment="1">
      <alignment horizontal="center" vertical="center" wrapText="1"/>
    </xf>
    <xf numFmtId="0" fontId="76" fillId="3" borderId="17" xfId="1" applyFont="1" applyFill="1" applyBorder="1" applyAlignment="1">
      <alignment horizontal="center" vertical="center" wrapText="1"/>
    </xf>
    <xf numFmtId="0" fontId="76" fillId="3" borderId="21" xfId="1" applyFont="1" applyFill="1" applyBorder="1" applyAlignment="1">
      <alignment horizontal="center" vertical="center" wrapText="1"/>
    </xf>
    <xf numFmtId="0" fontId="76" fillId="3" borderId="22" xfId="1" applyFont="1" applyFill="1" applyBorder="1" applyAlignment="1">
      <alignment horizontal="center" vertical="center" wrapText="1"/>
    </xf>
    <xf numFmtId="0" fontId="47" fillId="2" borderId="20" xfId="1" applyFont="1" applyFill="1" applyBorder="1" applyAlignment="1">
      <alignment horizontal="center" vertical="center"/>
    </xf>
    <xf numFmtId="49" fontId="26" fillId="3" borderId="21" xfId="1" applyNumberFormat="1" applyFont="1" applyFill="1" applyBorder="1" applyAlignment="1">
      <alignment horizontal="center" vertical="center"/>
    </xf>
    <xf numFmtId="49" fontId="26" fillId="3" borderId="22" xfId="1" applyNumberFormat="1" applyFont="1" applyFill="1" applyBorder="1" applyAlignment="1">
      <alignment horizontal="center" vertical="center"/>
    </xf>
    <xf numFmtId="0" fontId="47" fillId="2" borderId="11" xfId="1" applyFont="1" applyFill="1" applyBorder="1" applyAlignment="1">
      <alignment horizontal="center" vertical="center"/>
    </xf>
    <xf numFmtId="0" fontId="47" fillId="2" borderId="12" xfId="1" applyFont="1" applyFill="1" applyBorder="1" applyAlignment="1">
      <alignment horizontal="center" vertical="center"/>
    </xf>
    <xf numFmtId="0" fontId="26" fillId="3" borderId="14" xfId="1" applyFont="1" applyFill="1" applyBorder="1" applyAlignment="1">
      <alignment horizontal="center" vertical="center" wrapText="1"/>
    </xf>
    <xf numFmtId="0" fontId="26" fillId="3" borderId="15" xfId="1" applyFont="1" applyFill="1" applyBorder="1" applyAlignment="1">
      <alignment horizontal="center" vertical="center" wrapText="1"/>
    </xf>
    <xf numFmtId="0" fontId="26" fillId="3" borderId="2" xfId="1" applyFont="1" applyFill="1" applyBorder="1" applyAlignment="1">
      <alignment horizontal="center" vertical="center" wrapText="1"/>
    </xf>
    <xf numFmtId="0" fontId="26" fillId="3" borderId="3" xfId="1" applyFont="1" applyFill="1" applyBorder="1" applyAlignment="1">
      <alignment horizontal="center" vertical="center" wrapText="1"/>
    </xf>
    <xf numFmtId="49" fontId="52" fillId="0" borderId="44" xfId="1" applyNumberFormat="1" applyFont="1" applyBorder="1" applyAlignment="1">
      <alignment horizontal="center" vertical="center" wrapText="1"/>
    </xf>
    <xf numFmtId="49" fontId="52" fillId="0" borderId="163" xfId="1" applyNumberFormat="1" applyFont="1" applyBorder="1" applyAlignment="1">
      <alignment horizontal="center" vertical="center" wrapText="1"/>
    </xf>
    <xf numFmtId="49" fontId="52" fillId="0" borderId="162" xfId="1" applyNumberFormat="1" applyFont="1" applyBorder="1" applyAlignment="1">
      <alignment horizontal="center" vertical="center" wrapText="1"/>
    </xf>
    <xf numFmtId="49" fontId="52" fillId="0" borderId="39" xfId="1" applyNumberFormat="1" applyFont="1" applyBorder="1" applyAlignment="1">
      <alignment horizontal="center" vertical="center" wrapText="1"/>
    </xf>
    <xf numFmtId="49" fontId="52" fillId="0" borderId="0" xfId="1" applyNumberFormat="1" applyFont="1" applyAlignment="1">
      <alignment horizontal="center" vertical="center" wrapText="1"/>
    </xf>
    <xf numFmtId="49" fontId="52" fillId="0" borderId="40" xfId="1" applyNumberFormat="1" applyFont="1" applyBorder="1" applyAlignment="1">
      <alignment horizontal="center" vertical="center" wrapText="1"/>
    </xf>
    <xf numFmtId="49" fontId="52" fillId="0" borderId="127" xfId="1" applyNumberFormat="1" applyFont="1" applyBorder="1" applyAlignment="1">
      <alignment horizontal="center" vertical="center" wrapText="1"/>
    </xf>
    <xf numFmtId="49" fontId="52" fillId="0" borderId="150" xfId="1" applyNumberFormat="1" applyFont="1" applyBorder="1" applyAlignment="1">
      <alignment horizontal="center" vertical="center" wrapText="1"/>
    </xf>
    <xf numFmtId="49" fontId="52" fillId="0" borderId="153" xfId="1" applyNumberFormat="1" applyFont="1" applyBorder="1" applyAlignment="1">
      <alignment horizontal="center" vertical="center" wrapText="1"/>
    </xf>
    <xf numFmtId="0" fontId="21" fillId="0" borderId="2" xfId="0" applyFont="1" applyBorder="1" applyAlignment="1">
      <alignment horizontal="center"/>
    </xf>
    <xf numFmtId="0" fontId="21" fillId="0" borderId="13" xfId="0" applyFont="1" applyBorder="1" applyAlignment="1">
      <alignment horizontal="center"/>
    </xf>
    <xf numFmtId="0" fontId="21" fillId="0" borderId="3" xfId="0" applyFont="1" applyBorder="1" applyAlignment="1">
      <alignment horizontal="center"/>
    </xf>
    <xf numFmtId="49" fontId="22" fillId="3" borderId="170" xfId="1" applyNumberFormat="1" applyFont="1" applyFill="1" applyBorder="1" applyAlignment="1">
      <alignment horizontal="center" vertical="center"/>
    </xf>
    <xf numFmtId="49" fontId="22" fillId="3" borderId="94" xfId="1" applyNumberFormat="1" applyFont="1" applyFill="1" applyBorder="1" applyAlignment="1">
      <alignment horizontal="center" vertical="center"/>
    </xf>
    <xf numFmtId="0" fontId="23" fillId="4" borderId="94" xfId="1" applyFont="1" applyFill="1" applyBorder="1" applyAlignment="1">
      <alignment horizontal="center" vertical="center"/>
    </xf>
    <xf numFmtId="0" fontId="23" fillId="4" borderId="95" xfId="1" applyFont="1" applyFill="1" applyBorder="1" applyAlignment="1">
      <alignment horizontal="center" vertical="center"/>
    </xf>
    <xf numFmtId="0" fontId="23" fillId="2" borderId="0" xfId="1" applyFont="1" applyFill="1" applyAlignment="1">
      <alignment horizontal="center" vertical="center"/>
    </xf>
    <xf numFmtId="0" fontId="31" fillId="0" borderId="42" xfId="1" applyFont="1" applyBorder="1" applyAlignment="1">
      <alignment horizontal="center" vertical="center" wrapText="1"/>
    </xf>
    <xf numFmtId="0" fontId="31" fillId="0" borderId="71" xfId="1" applyFont="1" applyBorder="1" applyAlignment="1">
      <alignment horizontal="center" vertical="center" wrapText="1"/>
    </xf>
    <xf numFmtId="0" fontId="25" fillId="3" borderId="13" xfId="1" applyFont="1" applyFill="1" applyBorder="1" applyAlignment="1">
      <alignment horizontal="center" vertical="center"/>
    </xf>
    <xf numFmtId="0" fontId="25" fillId="3" borderId="3" xfId="1" applyFont="1" applyFill="1" applyBorder="1" applyAlignment="1">
      <alignment horizontal="center" vertical="center"/>
    </xf>
    <xf numFmtId="49" fontId="22" fillId="3" borderId="168" xfId="1" applyNumberFormat="1" applyFont="1" applyFill="1" applyBorder="1" applyAlignment="1">
      <alignment horizontal="center" vertical="center"/>
    </xf>
    <xf numFmtId="49" fontId="22" fillId="3" borderId="85" xfId="1" applyNumberFormat="1" applyFont="1" applyFill="1" applyBorder="1" applyAlignment="1">
      <alignment horizontal="center" vertical="center"/>
    </xf>
    <xf numFmtId="0" fontId="23" fillId="4" borderId="85" xfId="1" applyFont="1" applyFill="1" applyBorder="1" applyAlignment="1">
      <alignment horizontal="center" vertical="center"/>
    </xf>
    <xf numFmtId="0" fontId="23" fillId="4" borderId="86" xfId="1" applyFont="1" applyFill="1" applyBorder="1" applyAlignment="1">
      <alignment horizontal="center" vertical="center"/>
    </xf>
    <xf numFmtId="49" fontId="22" fillId="3" borderId="169" xfId="1" applyNumberFormat="1" applyFont="1" applyFill="1" applyBorder="1" applyAlignment="1">
      <alignment horizontal="center" vertical="center"/>
    </xf>
    <xf numFmtId="49" fontId="22" fillId="3" borderId="8" xfId="1" applyNumberFormat="1" applyFont="1" applyFill="1" applyBorder="1" applyAlignment="1">
      <alignment horizontal="center" vertical="center"/>
    </xf>
    <xf numFmtId="0" fontId="46" fillId="0" borderId="18" xfId="1" applyFont="1" applyBorder="1" applyAlignment="1">
      <alignment horizontal="left" vertical="center" wrapText="1"/>
    </xf>
    <xf numFmtId="0" fontId="46" fillId="0" borderId="20" xfId="1" applyFont="1" applyBorder="1" applyAlignment="1">
      <alignment horizontal="left" vertical="center" wrapText="1"/>
    </xf>
    <xf numFmtId="0" fontId="46" fillId="0" borderId="19" xfId="1" applyFont="1" applyBorder="1" applyAlignment="1">
      <alignment horizontal="left" vertical="center" wrapText="1"/>
    </xf>
    <xf numFmtId="0" fontId="23" fillId="4" borderId="26" xfId="1" applyFont="1" applyFill="1" applyBorder="1" applyAlignment="1">
      <alignment horizontal="center" vertical="center"/>
    </xf>
    <xf numFmtId="0" fontId="23" fillId="4" borderId="24" xfId="1" applyFont="1" applyFill="1" applyBorder="1" applyAlignment="1">
      <alignment horizontal="center" vertical="center"/>
    </xf>
    <xf numFmtId="0" fontId="23" fillId="4" borderId="18" xfId="1" applyFont="1" applyFill="1" applyBorder="1" applyAlignment="1">
      <alignment horizontal="center" vertical="center"/>
    </xf>
    <xf numFmtId="0" fontId="23" fillId="4" borderId="19" xfId="1" applyFont="1" applyFill="1" applyBorder="1" applyAlignment="1">
      <alignment horizontal="center" vertical="center"/>
    </xf>
    <xf numFmtId="0" fontId="23" fillId="4" borderId="30" xfId="1" applyFont="1" applyFill="1" applyBorder="1" applyAlignment="1">
      <alignment horizontal="center" vertical="center"/>
    </xf>
    <xf numFmtId="0" fontId="23" fillId="4" borderId="25" xfId="1" applyFont="1" applyFill="1" applyBorder="1" applyAlignment="1">
      <alignment horizontal="center" vertical="center"/>
    </xf>
    <xf numFmtId="0" fontId="26" fillId="3" borderId="161" xfId="1" applyFont="1" applyFill="1" applyBorder="1" applyAlignment="1">
      <alignment horizontal="center" vertical="center" wrapText="1"/>
    </xf>
    <xf numFmtId="0" fontId="26" fillId="3" borderId="37" xfId="1" applyFont="1" applyFill="1" applyBorder="1" applyAlignment="1">
      <alignment horizontal="center" vertical="center" wrapText="1"/>
    </xf>
    <xf numFmtId="0" fontId="26" fillId="3" borderId="38" xfId="1" applyFont="1" applyFill="1" applyBorder="1" applyAlignment="1">
      <alignment horizontal="center" vertical="center" wrapText="1"/>
    </xf>
    <xf numFmtId="0" fontId="26" fillId="3" borderId="14" xfId="1" applyFont="1" applyFill="1" applyBorder="1" applyAlignment="1">
      <alignment horizontal="left" vertical="center" wrapText="1"/>
    </xf>
    <xf numFmtId="0" fontId="26" fillId="3" borderId="23" xfId="1" applyFont="1" applyFill="1" applyBorder="1" applyAlignment="1">
      <alignment horizontal="left" vertical="center" wrapText="1"/>
    </xf>
    <xf numFmtId="0" fontId="26" fillId="3" borderId="24" xfId="1" applyFont="1" applyFill="1" applyBorder="1" applyAlignment="1">
      <alignment horizontal="left" vertical="center" wrapText="1"/>
    </xf>
    <xf numFmtId="0" fontId="26" fillId="3" borderId="90" xfId="0" applyFont="1" applyFill="1" applyBorder="1" applyAlignment="1">
      <alignment horizontal="center" vertical="center" wrapText="1"/>
    </xf>
    <xf numFmtId="0" fontId="26" fillId="3" borderId="91" xfId="0" applyFont="1" applyFill="1" applyBorder="1" applyAlignment="1">
      <alignment horizontal="center" vertical="center" wrapText="1"/>
    </xf>
    <xf numFmtId="0" fontId="26" fillId="3" borderId="92" xfId="0" applyFont="1" applyFill="1" applyBorder="1" applyAlignment="1">
      <alignment horizontal="center" vertical="center" wrapText="1"/>
    </xf>
    <xf numFmtId="0" fontId="24" fillId="0" borderId="41" xfId="0" applyFont="1" applyBorder="1" applyAlignment="1">
      <alignment horizontal="center" wrapText="1"/>
    </xf>
    <xf numFmtId="0" fontId="24" fillId="0" borderId="81" xfId="0" applyFont="1" applyBorder="1" applyAlignment="1">
      <alignment horizontal="center" wrapText="1"/>
    </xf>
    <xf numFmtId="0" fontId="24" fillId="0" borderId="0" xfId="0" applyFont="1" applyAlignment="1">
      <alignment horizontal="center" wrapText="1"/>
    </xf>
    <xf numFmtId="49" fontId="25" fillId="3" borderId="13" xfId="0" applyNumberFormat="1" applyFont="1" applyFill="1" applyBorder="1" applyAlignment="1">
      <alignment horizontal="center" vertical="center"/>
    </xf>
    <xf numFmtId="0" fontId="25" fillId="3" borderId="13" xfId="0" applyFont="1" applyFill="1" applyBorder="1" applyAlignment="1">
      <alignment horizontal="center" vertical="center"/>
    </xf>
    <xf numFmtId="49" fontId="22" fillId="3" borderId="2" xfId="1" applyNumberFormat="1" applyFont="1" applyFill="1" applyBorder="1" applyAlignment="1">
      <alignment horizontal="center" vertical="center"/>
    </xf>
    <xf numFmtId="49" fontId="22" fillId="3" borderId="190" xfId="1" applyNumberFormat="1" applyFont="1" applyFill="1" applyBorder="1" applyAlignment="1">
      <alignment horizontal="center" vertical="center"/>
    </xf>
    <xf numFmtId="0" fontId="29" fillId="9" borderId="48" xfId="5" applyFont="1" applyFill="1" applyBorder="1" applyAlignment="1">
      <alignment horizontal="center" vertical="center"/>
    </xf>
    <xf numFmtId="0" fontId="29" fillId="9" borderId="49" xfId="5" applyFont="1" applyFill="1" applyBorder="1" applyAlignment="1">
      <alignment horizontal="center" vertical="center"/>
    </xf>
    <xf numFmtId="0" fontId="29" fillId="9" borderId="50" xfId="5" applyFont="1" applyFill="1" applyBorder="1" applyAlignment="1">
      <alignment horizontal="center" vertical="center"/>
    </xf>
    <xf numFmtId="0" fontId="39" fillId="9" borderId="52" xfId="7" applyFont="1" applyFill="1" applyBorder="1" applyAlignment="1">
      <alignment horizontal="center" vertical="center"/>
    </xf>
    <xf numFmtId="0" fontId="39" fillId="9" borderId="1" xfId="7" applyFont="1" applyFill="1" applyBorder="1" applyAlignment="1">
      <alignment horizontal="center" vertical="center"/>
    </xf>
    <xf numFmtId="0" fontId="57" fillId="9" borderId="52" xfId="7" applyFont="1" applyFill="1" applyBorder="1" applyAlignment="1">
      <alignment horizontal="center" vertical="center" wrapText="1"/>
    </xf>
    <xf numFmtId="0" fontId="57" fillId="9" borderId="1" xfId="7" applyFont="1" applyFill="1" applyBorder="1" applyAlignment="1">
      <alignment horizontal="center" vertical="center" wrapText="1"/>
    </xf>
    <xf numFmtId="0" fontId="39" fillId="9" borderId="50" xfId="7" applyFont="1" applyFill="1" applyBorder="1" applyAlignment="1">
      <alignment horizontal="center" vertical="center"/>
    </xf>
    <xf numFmtId="0" fontId="39" fillId="9" borderId="57" xfId="7" applyFont="1" applyFill="1" applyBorder="1" applyAlignment="1">
      <alignment horizontal="center" vertical="center"/>
    </xf>
    <xf numFmtId="0" fontId="57" fillId="9" borderId="50" xfId="7" applyFont="1" applyFill="1" applyBorder="1" applyAlignment="1">
      <alignment horizontal="center" vertical="center" wrapText="1"/>
    </xf>
    <xf numFmtId="0" fontId="57" fillId="9" borderId="57" xfId="7" applyFont="1" applyFill="1" applyBorder="1" applyAlignment="1">
      <alignment horizontal="center" vertical="center" wrapText="1"/>
    </xf>
    <xf numFmtId="0" fontId="29" fillId="13" borderId="192" xfId="5" applyFont="1" applyFill="1" applyBorder="1" applyAlignment="1">
      <alignment horizontal="right" vertical="center"/>
    </xf>
    <xf numFmtId="0" fontId="29" fillId="13" borderId="193" xfId="5" applyFont="1" applyFill="1" applyBorder="1" applyAlignment="1">
      <alignment horizontal="right" vertical="center"/>
    </xf>
    <xf numFmtId="0" fontId="29" fillId="2" borderId="0" xfId="5" applyFont="1" applyFill="1" applyAlignment="1">
      <alignment horizontal="center"/>
    </xf>
    <xf numFmtId="49" fontId="25" fillId="3" borderId="124" xfId="1" applyNumberFormat="1" applyFont="1" applyFill="1" applyBorder="1" applyAlignment="1">
      <alignment horizontal="center" vertical="center"/>
    </xf>
    <xf numFmtId="0" fontId="25" fillId="3" borderId="125" xfId="1" applyFont="1" applyFill="1" applyBorder="1" applyAlignment="1">
      <alignment horizontal="center" vertical="center"/>
    </xf>
    <xf numFmtId="0" fontId="25" fillId="3" borderId="126" xfId="1" applyFont="1" applyFill="1" applyBorder="1" applyAlignment="1">
      <alignment horizontal="center" vertical="center"/>
    </xf>
    <xf numFmtId="0" fontId="31" fillId="0" borderId="33" xfId="1" applyFont="1" applyBorder="1" applyAlignment="1">
      <alignment horizontal="center" vertical="center" wrapText="1"/>
    </xf>
    <xf numFmtId="49" fontId="22" fillId="3" borderId="4" xfId="1" applyNumberFormat="1" applyFont="1" applyFill="1" applyBorder="1" applyAlignment="1">
      <alignment horizontal="center" vertical="center"/>
    </xf>
    <xf numFmtId="49" fontId="22" fillId="3" borderId="5" xfId="1" applyNumberFormat="1" applyFont="1" applyFill="1" applyBorder="1" applyAlignment="1">
      <alignment horizontal="center" vertical="center"/>
    </xf>
    <xf numFmtId="49" fontId="22" fillId="3" borderId="7" xfId="1" applyNumberFormat="1" applyFont="1" applyFill="1" applyBorder="1" applyAlignment="1">
      <alignment horizontal="center" vertical="center"/>
    </xf>
    <xf numFmtId="49" fontId="22" fillId="3" borderId="10" xfId="1" applyNumberFormat="1" applyFont="1" applyFill="1" applyBorder="1" applyAlignment="1">
      <alignment horizontal="center" vertical="center"/>
    </xf>
    <xf numFmtId="49" fontId="22" fillId="3" borderId="11" xfId="1" applyNumberFormat="1" applyFont="1" applyFill="1" applyBorder="1" applyAlignment="1">
      <alignment horizontal="center" vertical="center"/>
    </xf>
    <xf numFmtId="0" fontId="21" fillId="14" borderId="127" xfId="0" applyFont="1" applyFill="1" applyBorder="1" applyAlignment="1">
      <alignment horizontal="center"/>
    </xf>
    <xf numFmtId="0" fontId="21" fillId="14" borderId="150" xfId="0" applyFont="1" applyFill="1" applyBorder="1" applyAlignment="1">
      <alignment horizontal="center"/>
    </xf>
    <xf numFmtId="0" fontId="21" fillId="14" borderId="197" xfId="0" applyFont="1" applyFill="1" applyBorder="1" applyAlignment="1">
      <alignment horizontal="center"/>
    </xf>
    <xf numFmtId="0" fontId="21" fillId="14" borderId="21" xfId="0" applyFont="1" applyFill="1" applyBorder="1" applyAlignment="1">
      <alignment horizontal="center"/>
    </xf>
    <xf numFmtId="0" fontId="21" fillId="14" borderId="196" xfId="0" applyFont="1" applyFill="1" applyBorder="1" applyAlignment="1">
      <alignment horizontal="center"/>
    </xf>
    <xf numFmtId="0" fontId="21" fillId="14" borderId="44" xfId="0" applyFont="1" applyFill="1" applyBorder="1" applyAlignment="1">
      <alignment horizontal="center" vertical="center"/>
    </xf>
    <xf numFmtId="0" fontId="21" fillId="14" borderId="163" xfId="0" applyFont="1" applyFill="1" applyBorder="1" applyAlignment="1">
      <alignment horizontal="center" vertical="center"/>
    </xf>
    <xf numFmtId="0" fontId="21" fillId="14" borderId="191" xfId="0" applyFont="1" applyFill="1" applyBorder="1" applyAlignment="1">
      <alignment horizontal="center" vertical="center"/>
    </xf>
    <xf numFmtId="0" fontId="21" fillId="14" borderId="16" xfId="0" applyFont="1" applyFill="1" applyBorder="1" applyAlignment="1">
      <alignment horizontal="center" vertical="center"/>
    </xf>
    <xf numFmtId="0" fontId="21" fillId="14" borderId="20" xfId="0" applyFont="1" applyFill="1" applyBorder="1" applyAlignment="1">
      <alignment horizontal="center" vertical="center"/>
    </xf>
    <xf numFmtId="0" fontId="21" fillId="14" borderId="17" xfId="0" applyFont="1" applyFill="1" applyBorder="1" applyAlignment="1">
      <alignment horizontal="center" vertical="center"/>
    </xf>
    <xf numFmtId="0" fontId="23" fillId="2" borderId="43" xfId="1" applyFont="1" applyFill="1" applyBorder="1" applyAlignment="1">
      <alignment horizontal="center" vertical="center"/>
    </xf>
    <xf numFmtId="0" fontId="21" fillId="0" borderId="195" xfId="0" applyFont="1" applyBorder="1" applyAlignment="1">
      <alignment horizontal="left" vertical="center" wrapText="1"/>
    </xf>
    <xf numFmtId="0" fontId="21" fillId="0" borderId="82" xfId="0" applyFont="1" applyBorder="1" applyAlignment="1">
      <alignment horizontal="left" vertical="center" wrapText="1"/>
    </xf>
    <xf numFmtId="0" fontId="21" fillId="0" borderId="141" xfId="0" applyFont="1" applyBorder="1" applyAlignment="1">
      <alignment horizontal="left" vertical="center" wrapText="1"/>
    </xf>
    <xf numFmtId="0" fontId="21" fillId="0" borderId="2" xfId="0" applyFont="1" applyBorder="1" applyAlignment="1">
      <alignment horizontal="left" wrapText="1"/>
    </xf>
    <xf numFmtId="0" fontId="21" fillId="0" borderId="13" xfId="0" applyFont="1" applyBorder="1" applyAlignment="1">
      <alignment horizontal="left" wrapText="1"/>
    </xf>
    <xf numFmtId="0" fontId="21" fillId="0" borderId="190" xfId="0" applyFont="1" applyBorder="1" applyAlignment="1">
      <alignment horizontal="left" wrapText="1"/>
    </xf>
    <xf numFmtId="0" fontId="21" fillId="0" borderId="201" xfId="0" applyFont="1" applyBorder="1" applyAlignment="1">
      <alignment horizontal="center" vertical="center"/>
    </xf>
    <xf numFmtId="0" fontId="21" fillId="0" borderId="204" xfId="0" applyFont="1" applyBorder="1" applyAlignment="1">
      <alignment horizontal="center" vertical="center"/>
    </xf>
    <xf numFmtId="0" fontId="21" fillId="0" borderId="206" xfId="0" applyFont="1" applyBorder="1" applyAlignment="1">
      <alignment horizontal="left"/>
    </xf>
    <xf numFmtId="0" fontId="21" fillId="0" borderId="207" xfId="0" applyFont="1" applyBorder="1" applyAlignment="1">
      <alignment horizontal="left"/>
    </xf>
    <xf numFmtId="0" fontId="53" fillId="6" borderId="164" xfId="0" applyFont="1" applyFill="1" applyBorder="1" applyAlignment="1">
      <alignment horizontal="left" vertical="center"/>
    </xf>
    <xf numFmtId="0" fontId="53" fillId="6" borderId="165" xfId="0" applyFont="1" applyFill="1" applyBorder="1" applyAlignment="1">
      <alignment horizontal="left" vertical="center"/>
    </xf>
    <xf numFmtId="0" fontId="21" fillId="0" borderId="204" xfId="0" applyFont="1" applyBorder="1" applyAlignment="1">
      <alignment horizontal="left" wrapText="1"/>
    </xf>
    <xf numFmtId="0" fontId="21" fillId="0" borderId="100" xfId="0" applyFont="1" applyBorder="1" applyAlignment="1">
      <alignment horizontal="left" wrapText="1"/>
    </xf>
    <xf numFmtId="0" fontId="21" fillId="0" borderId="206" xfId="0" applyFont="1" applyBorder="1" applyAlignment="1">
      <alignment horizontal="left" wrapText="1"/>
    </xf>
    <xf numFmtId="0" fontId="21" fillId="0" borderId="209" xfId="0" applyFont="1" applyBorder="1" applyAlignment="1">
      <alignment horizontal="left"/>
    </xf>
    <xf numFmtId="0" fontId="21" fillId="0" borderId="194" xfId="0" applyFont="1" applyBorder="1" applyAlignment="1">
      <alignment horizontal="left"/>
    </xf>
    <xf numFmtId="0" fontId="49" fillId="0" borderId="46" xfId="7" applyFont="1" applyBorder="1" applyAlignment="1">
      <alignment horizontal="center" vertical="center" wrapText="1"/>
    </xf>
    <xf numFmtId="0" fontId="49" fillId="0" borderId="62" xfId="7" applyFont="1" applyBorder="1" applyAlignment="1">
      <alignment horizontal="center" vertical="center" wrapText="1"/>
    </xf>
    <xf numFmtId="0" fontId="46" fillId="0" borderId="46" xfId="0" applyFont="1" applyBorder="1" applyAlignment="1">
      <alignment horizontal="center" vertical="center"/>
    </xf>
    <xf numFmtId="0" fontId="46" fillId="0" borderId="214" xfId="0" applyFont="1" applyBorder="1" applyAlignment="1">
      <alignment horizontal="center" vertical="center"/>
    </xf>
    <xf numFmtId="0" fontId="34" fillId="8" borderId="2" xfId="0" applyFont="1" applyFill="1" applyBorder="1" applyAlignment="1">
      <alignment horizontal="center" vertical="center"/>
    </xf>
    <xf numFmtId="0" fontId="34" fillId="8" borderId="13" xfId="0" applyFont="1" applyFill="1" applyBorder="1" applyAlignment="1">
      <alignment horizontal="center" vertical="center"/>
    </xf>
    <xf numFmtId="0" fontId="34" fillId="8" borderId="3" xfId="0" applyFont="1" applyFill="1" applyBorder="1" applyAlignment="1">
      <alignment horizontal="center" vertical="center"/>
    </xf>
    <xf numFmtId="0" fontId="34" fillId="8" borderId="44" xfId="0" applyFont="1" applyFill="1" applyBorder="1" applyAlignment="1">
      <alignment horizontal="center" vertical="center"/>
    </xf>
    <xf numFmtId="0" fontId="34" fillId="8" borderId="163" xfId="0" applyFont="1" applyFill="1" applyBorder="1" applyAlignment="1">
      <alignment horizontal="center" vertical="center"/>
    </xf>
    <xf numFmtId="0" fontId="34" fillId="8" borderId="162" xfId="0" applyFont="1" applyFill="1" applyBorder="1" applyAlignment="1">
      <alignment horizontal="center" vertical="center"/>
    </xf>
    <xf numFmtId="0" fontId="46" fillId="0" borderId="216" xfId="0" applyFont="1" applyBorder="1" applyAlignment="1">
      <alignment horizontal="center" vertical="center" wrapText="1" readingOrder="1"/>
    </xf>
    <xf numFmtId="0" fontId="46" fillId="0" borderId="63" xfId="0" applyFont="1" applyBorder="1" applyAlignment="1">
      <alignment horizontal="center" vertical="center" wrapText="1" readingOrder="1"/>
    </xf>
    <xf numFmtId="0" fontId="46" fillId="0" borderId="214" xfId="0" applyFont="1" applyBorder="1" applyAlignment="1">
      <alignment horizontal="center" vertical="center" wrapText="1" readingOrder="1"/>
    </xf>
    <xf numFmtId="0" fontId="46" fillId="0" borderId="216" xfId="0" applyFont="1" applyBorder="1" applyAlignment="1">
      <alignment horizontal="center" vertical="center" wrapText="1"/>
    </xf>
    <xf numFmtId="0" fontId="46" fillId="0" borderId="63" xfId="0" applyFont="1" applyBorder="1" applyAlignment="1">
      <alignment horizontal="center" vertical="center" wrapText="1"/>
    </xf>
    <xf numFmtId="0" fontId="46" fillId="0" borderId="214" xfId="0" applyFont="1" applyBorder="1" applyAlignment="1">
      <alignment horizontal="center" vertical="center" wrapText="1"/>
    </xf>
    <xf numFmtId="0" fontId="46" fillId="0" borderId="216" xfId="0" applyFont="1" applyBorder="1" applyAlignment="1">
      <alignment horizontal="center" vertical="center"/>
    </xf>
    <xf numFmtId="0" fontId="46" fillId="0" borderId="63" xfId="0" applyFont="1" applyBorder="1" applyAlignment="1">
      <alignment horizontal="center" vertical="center"/>
    </xf>
    <xf numFmtId="49" fontId="22" fillId="3" borderId="44" xfId="1" applyNumberFormat="1" applyFont="1" applyFill="1" applyBorder="1" applyAlignment="1">
      <alignment horizontal="center" vertical="center"/>
    </xf>
    <xf numFmtId="49" fontId="22" fillId="3" borderId="191" xfId="1" applyNumberFormat="1" applyFont="1" applyFill="1" applyBorder="1" applyAlignment="1">
      <alignment horizontal="center" vertical="center"/>
    </xf>
    <xf numFmtId="49" fontId="22" fillId="3" borderId="39" xfId="1" applyNumberFormat="1" applyFont="1" applyFill="1" applyBorder="1" applyAlignment="1">
      <alignment horizontal="center" vertical="center"/>
    </xf>
    <xf numFmtId="49" fontId="22" fillId="3" borderId="218" xfId="1" applyNumberFormat="1" applyFont="1" applyFill="1" applyBorder="1" applyAlignment="1">
      <alignment horizontal="center" vertical="center"/>
    </xf>
    <xf numFmtId="49" fontId="22" fillId="3" borderId="127" xfId="1" applyNumberFormat="1" applyFont="1" applyFill="1" applyBorder="1" applyAlignment="1">
      <alignment horizontal="center" vertical="center"/>
    </xf>
    <xf numFmtId="49" fontId="22" fillId="3" borderId="197" xfId="1" applyNumberFormat="1" applyFont="1" applyFill="1" applyBorder="1" applyAlignment="1">
      <alignment horizontal="center" vertical="center"/>
    </xf>
    <xf numFmtId="49" fontId="41" fillId="3" borderId="2" xfId="1" applyNumberFormat="1" applyFont="1" applyFill="1" applyBorder="1" applyAlignment="1">
      <alignment horizontal="center" vertical="center"/>
    </xf>
    <xf numFmtId="0" fontId="41" fillId="3" borderId="13" xfId="1" applyFont="1" applyFill="1" applyBorder="1" applyAlignment="1">
      <alignment horizontal="center" vertical="center"/>
    </xf>
    <xf numFmtId="0" fontId="40" fillId="0" borderId="33" xfId="1" applyFont="1" applyBorder="1" applyAlignment="1">
      <alignment horizontal="center" vertical="center" wrapText="1"/>
    </xf>
    <xf numFmtId="0" fontId="32" fillId="0" borderId="213" xfId="1" applyFont="1" applyBorder="1" applyAlignment="1">
      <alignment horizontal="center" vertical="center"/>
    </xf>
    <xf numFmtId="0" fontId="32" fillId="0" borderId="82" xfId="1" applyFont="1" applyBorder="1" applyAlignment="1">
      <alignment horizontal="center" vertical="center"/>
    </xf>
    <xf numFmtId="0" fontId="32" fillId="0" borderId="141" xfId="1" applyFont="1" applyBorder="1" applyAlignment="1">
      <alignment horizontal="center" vertical="center"/>
    </xf>
    <xf numFmtId="0" fontId="49" fillId="0" borderId="216" xfId="7" applyFont="1" applyBorder="1" applyAlignment="1">
      <alignment horizontal="center" vertical="center" wrapText="1"/>
    </xf>
    <xf numFmtId="0" fontId="36" fillId="3" borderId="2" xfId="1" applyFont="1" applyFill="1" applyBorder="1" applyAlignment="1">
      <alignment horizontal="center" vertical="center" wrapText="1"/>
    </xf>
    <xf numFmtId="0" fontId="36" fillId="3" borderId="13" xfId="1" applyFont="1" applyFill="1" applyBorder="1" applyAlignment="1">
      <alignment horizontal="center" vertical="center" wrapText="1"/>
    </xf>
    <xf numFmtId="0" fontId="36" fillId="3" borderId="163" xfId="1" applyFont="1" applyFill="1" applyBorder="1" applyAlignment="1">
      <alignment horizontal="center" vertical="center" wrapText="1"/>
    </xf>
    <xf numFmtId="0" fontId="36" fillId="3" borderId="45" xfId="1" applyFont="1" applyFill="1" applyBorder="1" applyAlignment="1">
      <alignment horizontal="center" vertical="center" wrapText="1"/>
    </xf>
    <xf numFmtId="0" fontId="31" fillId="0" borderId="72" xfId="1" applyFont="1" applyBorder="1" applyAlignment="1">
      <alignment horizontal="center" vertical="center" wrapText="1"/>
    </xf>
    <xf numFmtId="0" fontId="40" fillId="0" borderId="71" xfId="1" applyFont="1" applyBorder="1" applyAlignment="1">
      <alignment horizontal="center" vertical="center" wrapText="1"/>
    </xf>
    <xf numFmtId="0" fontId="21" fillId="0" borderId="1" xfId="0" applyFont="1" applyBorder="1" applyAlignment="1">
      <alignment horizontal="center" vertical="center" wrapText="1"/>
    </xf>
    <xf numFmtId="0" fontId="34" fillId="8" borderId="1" xfId="0" applyFont="1" applyFill="1" applyBorder="1" applyAlignment="1">
      <alignment horizontal="center" vertical="center"/>
    </xf>
    <xf numFmtId="0" fontId="21" fillId="0" borderId="46" xfId="0" applyFont="1" applyBorder="1" applyAlignment="1">
      <alignment horizontal="center" vertical="center" wrapText="1"/>
    </xf>
    <xf numFmtId="0" fontId="34" fillId="8" borderId="46" xfId="0" applyFont="1" applyFill="1" applyBorder="1" applyAlignment="1">
      <alignment horizontal="center" vertical="center"/>
    </xf>
    <xf numFmtId="0" fontId="39" fillId="8" borderId="46" xfId="0" applyFont="1" applyFill="1" applyBorder="1" applyAlignment="1">
      <alignment horizontal="center" vertical="center"/>
    </xf>
    <xf numFmtId="0" fontId="32" fillId="0" borderId="1" xfId="1" applyFont="1" applyBorder="1" applyAlignment="1">
      <alignment horizontal="center" vertical="center"/>
    </xf>
    <xf numFmtId="0" fontId="32" fillId="0" borderId="46" xfId="0" applyFont="1" applyBorder="1" applyAlignment="1">
      <alignment horizontal="left" vertical="center" wrapText="1"/>
    </xf>
    <xf numFmtId="0" fontId="32" fillId="0" borderId="63" xfId="0" applyFont="1" applyBorder="1" applyAlignment="1">
      <alignment horizontal="left" vertical="center" wrapText="1"/>
    </xf>
    <xf numFmtId="0" fontId="32" fillId="0" borderId="62" xfId="0" applyFont="1" applyBorder="1" applyAlignment="1">
      <alignment horizontal="left" vertical="center" wrapText="1"/>
    </xf>
    <xf numFmtId="0" fontId="32" fillId="0" borderId="44" xfId="1" applyFont="1" applyBorder="1" applyAlignment="1">
      <alignment horizontal="center" vertical="center"/>
    </xf>
    <xf numFmtId="0" fontId="32" fillId="0" borderId="162" xfId="1" applyFont="1" applyBorder="1" applyAlignment="1">
      <alignment horizontal="center" vertical="center"/>
    </xf>
    <xf numFmtId="0" fontId="46" fillId="0" borderId="46" xfId="0" applyFont="1" applyBorder="1" applyAlignment="1">
      <alignment horizontal="left" vertical="center" wrapText="1"/>
    </xf>
    <xf numFmtId="0" fontId="46" fillId="0" borderId="63" xfId="0" applyFont="1" applyBorder="1" applyAlignment="1">
      <alignment horizontal="left" vertical="center" wrapText="1"/>
    </xf>
    <xf numFmtId="0" fontId="46" fillId="0" borderId="62" xfId="0" applyFont="1" applyBorder="1" applyAlignment="1">
      <alignment horizontal="left" vertical="center" wrapText="1"/>
    </xf>
    <xf numFmtId="0" fontId="41" fillId="3" borderId="3" xfId="1" applyFont="1" applyFill="1" applyBorder="1" applyAlignment="1">
      <alignment horizontal="center" vertical="center"/>
    </xf>
    <xf numFmtId="0" fontId="40" fillId="0" borderId="34" xfId="1" applyFont="1" applyBorder="1" applyAlignment="1">
      <alignment horizontal="center" vertical="center" wrapText="1"/>
    </xf>
    <xf numFmtId="0" fontId="32" fillId="0" borderId="1" xfId="0" applyFont="1" applyBorder="1" applyAlignment="1">
      <alignment horizontal="center" vertical="center" wrapText="1"/>
    </xf>
    <xf numFmtId="49" fontId="22" fillId="3" borderId="14" xfId="1" applyNumberFormat="1" applyFont="1" applyFill="1" applyBorder="1" applyAlignment="1">
      <alignment horizontal="center" vertical="center"/>
    </xf>
    <xf numFmtId="49" fontId="22" fillId="3" borderId="15" xfId="1" applyNumberFormat="1" applyFont="1" applyFill="1" applyBorder="1" applyAlignment="1">
      <alignment horizontal="center" vertical="center"/>
    </xf>
    <xf numFmtId="0" fontId="23" fillId="4" borderId="23" xfId="1" applyFont="1" applyFill="1" applyBorder="1" applyAlignment="1">
      <alignment horizontal="center" vertical="center"/>
    </xf>
    <xf numFmtId="49" fontId="22" fillId="3" borderId="16" xfId="1" applyNumberFormat="1" applyFont="1" applyFill="1" applyBorder="1" applyAlignment="1">
      <alignment horizontal="center" vertical="center"/>
    </xf>
    <xf numFmtId="49" fontId="22" fillId="3" borderId="17" xfId="1" applyNumberFormat="1" applyFont="1" applyFill="1" applyBorder="1" applyAlignment="1">
      <alignment horizontal="center" vertical="center"/>
    </xf>
    <xf numFmtId="0" fontId="23" fillId="4" borderId="20" xfId="1" applyFont="1" applyFill="1" applyBorder="1" applyAlignment="1">
      <alignment horizontal="center" vertical="center"/>
    </xf>
    <xf numFmtId="0" fontId="23" fillId="4" borderId="17" xfId="1" applyFont="1" applyFill="1" applyBorder="1" applyAlignment="1">
      <alignment horizontal="center" vertical="center"/>
    </xf>
    <xf numFmtId="49" fontId="22" fillId="3" borderId="21" xfId="1" applyNumberFormat="1" applyFont="1" applyFill="1" applyBorder="1" applyAlignment="1">
      <alignment horizontal="center" vertical="center"/>
    </xf>
    <xf numFmtId="49" fontId="22" fillId="3" borderId="22" xfId="1" applyNumberFormat="1" applyFont="1" applyFill="1" applyBorder="1" applyAlignment="1">
      <alignment horizontal="center" vertical="center"/>
    </xf>
    <xf numFmtId="0" fontId="23" fillId="4" borderId="196" xfId="1" applyFont="1" applyFill="1" applyBorder="1" applyAlignment="1">
      <alignment horizontal="center" vertical="center"/>
    </xf>
    <xf numFmtId="0" fontId="32" fillId="0" borderId="46" xfId="1" applyFont="1" applyBorder="1" applyAlignment="1">
      <alignment horizontal="center" vertical="center"/>
    </xf>
    <xf numFmtId="0" fontId="21" fillId="0" borderId="108" xfId="0" applyFont="1" applyBorder="1" applyAlignment="1">
      <alignment horizontal="center"/>
    </xf>
    <xf numFmtId="0" fontId="21" fillId="0" borderId="109" xfId="0" applyFont="1" applyBorder="1" applyAlignment="1">
      <alignment horizontal="center"/>
    </xf>
    <xf numFmtId="0" fontId="21" fillId="0" borderId="112" xfId="0" applyFont="1" applyBorder="1" applyAlignment="1">
      <alignment horizontal="center"/>
    </xf>
    <xf numFmtId="0" fontId="21" fillId="0" borderId="108" xfId="0" applyFont="1" applyBorder="1" applyAlignment="1">
      <alignment horizontal="center" vertical="center" wrapText="1"/>
    </xf>
    <xf numFmtId="0" fontId="21" fillId="0" borderId="109" xfId="0" applyFont="1" applyBorder="1" applyAlignment="1">
      <alignment horizontal="center" vertical="center" wrapText="1"/>
    </xf>
    <xf numFmtId="0" fontId="21" fillId="0" borderId="112" xfId="0" applyFont="1" applyBorder="1" applyAlignment="1">
      <alignment horizontal="center" vertical="center" wrapText="1"/>
    </xf>
    <xf numFmtId="0" fontId="21" fillId="7" borderId="180" xfId="0" applyFont="1" applyFill="1" applyBorder="1" applyAlignment="1">
      <alignment horizontal="left"/>
    </xf>
    <xf numFmtId="0" fontId="21" fillId="7" borderId="109" xfId="0" applyFont="1" applyFill="1" applyBorder="1" applyAlignment="1">
      <alignment horizontal="left"/>
    </xf>
    <xf numFmtId="0" fontId="21" fillId="0" borderId="184" xfId="0" applyFont="1" applyBorder="1" applyAlignment="1">
      <alignment horizontal="center" vertical="center"/>
    </xf>
    <xf numFmtId="0" fontId="21" fillId="0" borderId="171" xfId="0" applyFont="1" applyBorder="1" applyAlignment="1">
      <alignment horizontal="center" vertical="center"/>
    </xf>
    <xf numFmtId="0" fontId="21" fillId="0" borderId="172" xfId="0" applyFont="1" applyBorder="1" applyAlignment="1">
      <alignment horizontal="center" vertical="center"/>
    </xf>
    <xf numFmtId="0" fontId="21" fillId="0" borderId="185" xfId="0" applyFont="1" applyBorder="1" applyAlignment="1">
      <alignment horizontal="center" vertical="center"/>
    </xf>
    <xf numFmtId="0" fontId="21" fillId="0" borderId="0" xfId="0" applyFont="1" applyAlignment="1">
      <alignment horizontal="center" vertical="center"/>
    </xf>
    <xf numFmtId="0" fontId="21" fillId="0" borderId="181" xfId="0" applyFont="1" applyBorder="1" applyAlignment="1">
      <alignment horizontal="center" vertical="center"/>
    </xf>
    <xf numFmtId="0" fontId="21" fillId="0" borderId="186" xfId="0" applyFont="1" applyBorder="1" applyAlignment="1">
      <alignment horizontal="center" vertical="center"/>
    </xf>
    <xf numFmtId="0" fontId="21" fillId="0" borderId="182" xfId="0" applyFont="1" applyBorder="1" applyAlignment="1">
      <alignment horizontal="center" vertical="center"/>
    </xf>
    <xf numFmtId="0" fontId="21" fillId="0" borderId="183" xfId="0" applyFont="1" applyBorder="1" applyAlignment="1">
      <alignment horizontal="center" vertical="center"/>
    </xf>
    <xf numFmtId="0" fontId="23" fillId="4" borderId="188" xfId="1" applyFont="1" applyFill="1" applyBorder="1" applyAlignment="1">
      <alignment horizontal="center" vertical="center"/>
    </xf>
    <xf numFmtId="0" fontId="23" fillId="4" borderId="189" xfId="1" applyFont="1" applyFill="1" applyBorder="1" applyAlignment="1">
      <alignment horizontal="center" vertical="center"/>
    </xf>
    <xf numFmtId="0" fontId="23" fillId="4" borderId="28" xfId="1" applyFont="1" applyFill="1" applyBorder="1" applyAlignment="1">
      <alignment horizontal="center" vertical="center"/>
    </xf>
    <xf numFmtId="0" fontId="23" fillId="4" borderId="29" xfId="1" applyFont="1" applyFill="1" applyBorder="1" applyAlignment="1">
      <alignment horizontal="center" vertical="center"/>
    </xf>
    <xf numFmtId="0" fontId="25" fillId="3" borderId="3" xfId="0" applyFont="1" applyFill="1" applyBorder="1" applyAlignment="1">
      <alignment horizontal="center" vertical="center"/>
    </xf>
    <xf numFmtId="0" fontId="26" fillId="3" borderId="96" xfId="0" applyFont="1" applyFill="1" applyBorder="1" applyAlignment="1">
      <alignment horizontal="center" vertical="center" wrapText="1"/>
    </xf>
    <xf numFmtId="0" fontId="26" fillId="3" borderId="97" xfId="0" applyFont="1" applyFill="1" applyBorder="1" applyAlignment="1">
      <alignment horizontal="center" vertical="center" wrapText="1"/>
    </xf>
    <xf numFmtId="0" fontId="26" fillId="3" borderId="98" xfId="0" applyFont="1" applyFill="1" applyBorder="1" applyAlignment="1">
      <alignment horizontal="center" vertical="center" wrapText="1"/>
    </xf>
    <xf numFmtId="0" fontId="24" fillId="0" borderId="42" xfId="0" applyFont="1" applyBorder="1" applyAlignment="1">
      <alignment horizontal="center" vertical="center" wrapText="1"/>
    </xf>
    <xf numFmtId="0" fontId="24" fillId="0" borderId="71" xfId="0" applyFont="1" applyBorder="1" applyAlignment="1">
      <alignment horizontal="center" vertical="center" wrapText="1"/>
    </xf>
    <xf numFmtId="0" fontId="24" fillId="0" borderId="69" xfId="0" applyFont="1" applyBorder="1" applyAlignment="1">
      <alignment horizontal="center" vertical="center" wrapText="1"/>
    </xf>
    <xf numFmtId="0" fontId="21" fillId="0" borderId="173" xfId="0" applyFont="1" applyBorder="1" applyAlignment="1">
      <alignment horizontal="left" vertical="center"/>
    </xf>
    <xf numFmtId="0" fontId="21" fillId="0" borderId="174" xfId="0" applyFont="1" applyBorder="1" applyAlignment="1">
      <alignment horizontal="left" vertical="center"/>
    </xf>
    <xf numFmtId="0" fontId="21" fillId="0" borderId="175" xfId="0" applyFont="1" applyBorder="1" applyAlignment="1">
      <alignment horizontal="left" vertical="center"/>
    </xf>
    <xf numFmtId="0" fontId="21" fillId="0" borderId="176" xfId="0" applyFont="1" applyBorder="1" applyAlignment="1">
      <alignment horizontal="left" vertical="center"/>
    </xf>
    <xf numFmtId="0" fontId="21" fillId="0" borderId="177" xfId="0" applyFont="1" applyBorder="1" applyAlignment="1">
      <alignment horizontal="left" vertical="center"/>
    </xf>
    <xf numFmtId="0" fontId="21" fillId="0" borderId="178" xfId="0" applyFont="1" applyBorder="1" applyAlignment="1">
      <alignment horizontal="left" vertical="center"/>
    </xf>
    <xf numFmtId="0" fontId="21" fillId="0" borderId="101" xfId="0" applyFont="1" applyBorder="1" applyAlignment="1">
      <alignment horizontal="left"/>
    </xf>
    <xf numFmtId="0" fontId="21" fillId="0" borderId="102" xfId="0" applyFont="1" applyBorder="1" applyAlignment="1">
      <alignment horizontal="left"/>
    </xf>
    <xf numFmtId="0" fontId="39" fillId="0" borderId="101" xfId="0" applyFont="1" applyBorder="1" applyAlignment="1">
      <alignment horizontal="left"/>
    </xf>
    <xf numFmtId="0" fontId="39" fillId="0" borderId="102" xfId="0" applyFont="1" applyBorder="1" applyAlignment="1">
      <alignment horizontal="left"/>
    </xf>
    <xf numFmtId="0" fontId="38" fillId="4" borderId="108" xfId="0" applyFont="1" applyFill="1" applyBorder="1" applyAlignment="1">
      <alignment horizontal="center"/>
    </xf>
    <xf numFmtId="0" fontId="38" fillId="4" borderId="109" xfId="0" applyFont="1" applyFill="1" applyBorder="1" applyAlignment="1">
      <alignment horizontal="center"/>
    </xf>
    <xf numFmtId="0" fontId="38" fillId="4" borderId="110" xfId="0" applyFont="1" applyFill="1" applyBorder="1" applyAlignment="1">
      <alignment horizontal="center"/>
    </xf>
    <xf numFmtId="0" fontId="21" fillId="7" borderId="102" xfId="0" applyFont="1" applyFill="1" applyBorder="1" applyAlignment="1">
      <alignment horizontal="center"/>
    </xf>
    <xf numFmtId="0" fontId="21" fillId="0" borderId="111" xfId="0" applyFont="1" applyBorder="1" applyAlignment="1">
      <alignment horizontal="left" vertical="center" wrapText="1"/>
    </xf>
    <xf numFmtId="0" fontId="21" fillId="0" borderId="109" xfId="0" applyFont="1" applyBorder="1" applyAlignment="1">
      <alignment horizontal="left" vertical="center" wrapText="1"/>
    </xf>
    <xf numFmtId="0" fontId="21" fillId="0" borderId="109" xfId="0" applyFont="1" applyBorder="1" applyAlignment="1">
      <alignment horizontal="left" vertical="top" wrapText="1"/>
    </xf>
    <xf numFmtId="0" fontId="25" fillId="3" borderId="2" xfId="1" applyFont="1" applyFill="1" applyBorder="1" applyAlignment="1">
      <alignment horizontal="center" vertical="center"/>
    </xf>
    <xf numFmtId="49" fontId="36" fillId="3" borderId="4" xfId="1" applyNumberFormat="1" applyFont="1" applyFill="1" applyBorder="1" applyAlignment="1">
      <alignment horizontal="center" vertical="center"/>
    </xf>
    <xf numFmtId="49" fontId="36" fillId="3" borderId="5" xfId="1" applyNumberFormat="1" applyFont="1" applyFill="1" applyBorder="1" applyAlignment="1">
      <alignment horizontal="center" vertical="center"/>
    </xf>
    <xf numFmtId="49" fontId="36" fillId="3" borderId="6" xfId="1" applyNumberFormat="1" applyFont="1" applyFill="1" applyBorder="1" applyAlignment="1">
      <alignment horizontal="center" vertical="center"/>
    </xf>
    <xf numFmtId="0" fontId="21" fillId="0" borderId="8" xfId="0" applyFont="1" applyBorder="1" applyAlignment="1">
      <alignment horizontal="left" vertical="top" wrapText="1"/>
    </xf>
    <xf numFmtId="0" fontId="21" fillId="0" borderId="8" xfId="0" applyFont="1" applyBorder="1" applyAlignment="1">
      <alignment horizontal="left" vertical="center" wrapText="1"/>
    </xf>
    <xf numFmtId="0" fontId="21" fillId="0" borderId="9" xfId="0" applyFont="1" applyBorder="1" applyAlignment="1">
      <alignment horizontal="left" vertical="center" wrapText="1"/>
    </xf>
    <xf numFmtId="0" fontId="22" fillId="5" borderId="8" xfId="7" applyFont="1" applyFill="1" applyBorder="1" applyAlignment="1">
      <alignment horizontal="center" vertical="center" wrapText="1"/>
    </xf>
    <xf numFmtId="0" fontId="22" fillId="5" borderId="9" xfId="7" applyFont="1" applyFill="1" applyBorder="1" applyAlignment="1">
      <alignment horizontal="center" vertical="center" wrapText="1"/>
    </xf>
    <xf numFmtId="0" fontId="21" fillId="0" borderId="11" xfId="0" applyFont="1" applyBorder="1" applyAlignment="1">
      <alignment horizontal="left" vertical="top" wrapText="1"/>
    </xf>
    <xf numFmtId="0" fontId="21" fillId="0" borderId="11" xfId="0" applyFont="1" applyBorder="1" applyAlignment="1">
      <alignment horizontal="left" vertical="center" wrapText="1"/>
    </xf>
    <xf numFmtId="0" fontId="21" fillId="0" borderId="12" xfId="0" applyFont="1" applyBorder="1" applyAlignment="1">
      <alignment horizontal="left" vertical="center" wrapText="1"/>
    </xf>
    <xf numFmtId="0" fontId="37" fillId="0" borderId="8" xfId="0" applyFont="1" applyBorder="1" applyAlignment="1">
      <alignment horizontal="left" vertical="top" wrapText="1"/>
    </xf>
    <xf numFmtId="0" fontId="37" fillId="0" borderId="8" xfId="9" applyFont="1" applyBorder="1" applyAlignment="1">
      <alignment horizontal="left" vertical="top" wrapText="1"/>
    </xf>
    <xf numFmtId="0" fontId="31" fillId="0" borderId="74" xfId="1" applyFont="1" applyBorder="1" applyAlignment="1">
      <alignment horizontal="center" vertical="center" wrapText="1"/>
    </xf>
    <xf numFmtId="0" fontId="22" fillId="5" borderId="18" xfId="7" applyFont="1" applyFill="1" applyBorder="1" applyAlignment="1">
      <alignment horizontal="center" vertical="center" wrapText="1"/>
    </xf>
    <xf numFmtId="0" fontId="22" fillId="5" borderId="20" xfId="7" applyFont="1" applyFill="1" applyBorder="1" applyAlignment="1">
      <alignment horizontal="center" vertical="center" wrapText="1"/>
    </xf>
    <xf numFmtId="0" fontId="22" fillId="5" borderId="17" xfId="7" applyFont="1" applyFill="1" applyBorder="1" applyAlignment="1">
      <alignment horizontal="center" vertical="center" wrapText="1"/>
    </xf>
  </cellXfs>
  <cellStyles count="17">
    <cellStyle name="Normal" xfId="0" builtinId="0"/>
    <cellStyle name="Percent" xfId="4" builtinId="5"/>
    <cellStyle name="Prozent 2" xfId="16" xr:uid="{00000000-0005-0000-0000-000003000000}"/>
    <cellStyle name="Standard 2" xfId="15" xr:uid="{00000000-0005-0000-0000-000004000000}"/>
    <cellStyle name="パーセント 2" xfId="6" xr:uid="{00000000-0005-0000-0000-000005000000}"/>
    <cellStyle name="パーセント 2 2" xfId="11" xr:uid="{00000000-0005-0000-0000-000006000000}"/>
    <cellStyle name="쉼표 [0] 2" xfId="3" xr:uid="{00000000-0005-0000-0000-000007000000}"/>
    <cellStyle name="표준 2" xfId="1" xr:uid="{00000000-0005-0000-0000-000008000000}"/>
    <cellStyle name="표준 3" xfId="2" xr:uid="{00000000-0005-0000-0000-000009000000}"/>
    <cellStyle name="표준 3 2" xfId="13" xr:uid="{00000000-0005-0000-0000-00000A000000}"/>
    <cellStyle name="표준 3 3" xfId="14" xr:uid="{00000000-0005-0000-0000-00000B000000}"/>
    <cellStyle name="標準 2" xfId="7" xr:uid="{00000000-0005-0000-0000-00000C000000}"/>
    <cellStyle name="標準 3" xfId="8" xr:uid="{00000000-0005-0000-0000-00000D000000}"/>
    <cellStyle name="標準 4" xfId="5" xr:uid="{00000000-0005-0000-0000-00000E000000}"/>
    <cellStyle name="標準 4 2" xfId="9" xr:uid="{00000000-0005-0000-0000-00000F000000}"/>
    <cellStyle name="標準 4 2 2" xfId="12" xr:uid="{00000000-0005-0000-0000-000010000000}"/>
    <cellStyle name="標準 4 2_DFA K (2)" xfId="10" xr:uid="{00000000-0005-0000-0000-000011000000}"/>
  </cellStyles>
  <dxfs count="8">
    <dxf>
      <font>
        <b/>
        <i val="0"/>
        <strike val="0"/>
        <color rgb="FF0070C0"/>
      </font>
    </dxf>
    <dxf>
      <font>
        <b/>
        <i val="0"/>
        <strike val="0"/>
        <color rgb="FFFF0000"/>
      </font>
    </dxf>
    <dxf>
      <font>
        <b/>
        <i val="0"/>
        <strike val="0"/>
        <color rgb="FF0070C0"/>
      </font>
    </dxf>
    <dxf>
      <font>
        <b/>
        <i val="0"/>
        <strike val="0"/>
        <color rgb="FFFF0000"/>
      </font>
    </dxf>
    <dxf>
      <font>
        <b/>
        <i val="0"/>
        <strike val="0"/>
        <color rgb="FF0070C0"/>
      </font>
    </dxf>
    <dxf>
      <font>
        <b/>
        <i val="0"/>
        <strike val="0"/>
        <color rgb="FFFF0000"/>
      </font>
    </dxf>
    <dxf>
      <font>
        <b/>
        <i val="0"/>
        <strike val="0"/>
        <color rgb="FF0070C0"/>
      </font>
    </dxf>
    <dxf>
      <font>
        <b/>
        <i val="0"/>
        <strike val="0"/>
        <color rgb="FFFF0000"/>
      </font>
    </dxf>
  </dxfs>
  <tableStyles count="0" defaultTableStyle="TableStyleMedium2" defaultPivotStyle="PivotStyleMedium9"/>
  <colors>
    <mruColors>
      <color rgb="FFAECAC4"/>
      <color rgb="FF7BA79D"/>
      <color rgb="FF000000"/>
      <color rgb="FF578278"/>
      <color rgb="FFB2B2B2"/>
      <color rgb="FF003366"/>
      <color rgb="FF006600"/>
      <color rgb="FFFFFFCC"/>
      <color rgb="FF00FF00"/>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8" Type="http://schemas.openxmlformats.org/officeDocument/2006/relationships/image" Target="../media/image11.emf"/><Relationship Id="rId13" Type="http://schemas.openxmlformats.org/officeDocument/2006/relationships/image" Target="../media/image15.png"/><Relationship Id="rId3" Type="http://schemas.openxmlformats.org/officeDocument/2006/relationships/image" Target="../media/image6.png"/><Relationship Id="rId7" Type="http://schemas.openxmlformats.org/officeDocument/2006/relationships/image" Target="../media/image10.emf"/><Relationship Id="rId12" Type="http://schemas.openxmlformats.org/officeDocument/2006/relationships/image" Target="../media/image14.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11" Type="http://schemas.openxmlformats.org/officeDocument/2006/relationships/image" Target="../media/image13.png"/><Relationship Id="rId5" Type="http://schemas.openxmlformats.org/officeDocument/2006/relationships/image" Target="../media/image8.png"/><Relationship Id="rId10" Type="http://schemas.openxmlformats.org/officeDocument/2006/relationships/image" Target="../media/image12.png"/><Relationship Id="rId4" Type="http://schemas.openxmlformats.org/officeDocument/2006/relationships/image" Target="../media/image7.png"/><Relationship Id="rId9"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6.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326571</xdr:colOff>
      <xdr:row>2</xdr:row>
      <xdr:rowOff>0</xdr:rowOff>
    </xdr:from>
    <xdr:to>
      <xdr:col>4</xdr:col>
      <xdr:colOff>843642</xdr:colOff>
      <xdr:row>6</xdr:row>
      <xdr:rowOff>0</xdr:rowOff>
    </xdr:to>
    <xdr:sp macro="" textlink="">
      <xdr:nvSpPr>
        <xdr:cNvPr id="3" name="직사각형 2">
          <a:extLst>
            <a:ext uri="{FF2B5EF4-FFF2-40B4-BE49-F238E27FC236}">
              <a16:creationId xmlns:a16="http://schemas.microsoft.com/office/drawing/2014/main" id="{00000000-0008-0000-0000-000003000000}"/>
            </a:ext>
          </a:extLst>
        </xdr:cNvPr>
        <xdr:cNvSpPr/>
      </xdr:nvSpPr>
      <xdr:spPr bwMode="auto">
        <a:xfrm>
          <a:off x="326571" y="326571"/>
          <a:ext cx="3714750" cy="938893"/>
        </a:xfrm>
        <a:prstGeom prst="rect">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lang="ko-KR" altLang="en-US" sz="1100"/>
        </a:p>
      </xdr:txBody>
    </xdr:sp>
    <xdr:clientData/>
  </xdr:twoCellAnchor>
  <xdr:twoCellAnchor editAs="oneCell">
    <xdr:from>
      <xdr:col>0</xdr:col>
      <xdr:colOff>326571</xdr:colOff>
      <xdr:row>1</xdr:row>
      <xdr:rowOff>152400</xdr:rowOff>
    </xdr:from>
    <xdr:to>
      <xdr:col>5</xdr:col>
      <xdr:colOff>373673</xdr:colOff>
      <xdr:row>5</xdr:row>
      <xdr:rowOff>148163</xdr:rowOff>
    </xdr:to>
    <xdr:pic>
      <xdr:nvPicPr>
        <xdr:cNvPr id="4" name="Grafik 3">
          <a:extLst>
            <a:ext uri="{FF2B5EF4-FFF2-40B4-BE49-F238E27FC236}">
              <a16:creationId xmlns:a16="http://schemas.microsoft.com/office/drawing/2014/main" id="{143C0E54-DD35-4359-BA66-411AE9B80C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6571" y="320919"/>
          <a:ext cx="3871756" cy="75776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132524</xdr:colOff>
      <xdr:row>12</xdr:row>
      <xdr:rowOff>140804</xdr:rowOff>
    </xdr:from>
    <xdr:to>
      <xdr:col>11</xdr:col>
      <xdr:colOff>99392</xdr:colOff>
      <xdr:row>48</xdr:row>
      <xdr:rowOff>695739</xdr:rowOff>
    </xdr:to>
    <xdr:pic>
      <xdr:nvPicPr>
        <xdr:cNvPr id="8" name="Grafik 7">
          <a:extLst>
            <a:ext uri="{FF2B5EF4-FFF2-40B4-BE49-F238E27FC236}">
              <a16:creationId xmlns:a16="http://schemas.microsoft.com/office/drawing/2014/main" id="{CB44D399-A949-4DC8-B7E4-DAF5BAF07250}"/>
            </a:ext>
          </a:extLst>
        </xdr:cNvPr>
        <xdr:cNvPicPr/>
      </xdr:nvPicPr>
      <xdr:blipFill>
        <a:blip xmlns:r="http://schemas.openxmlformats.org/officeDocument/2006/relationships" r:embed="rId1"/>
        <a:stretch>
          <a:fillRect/>
        </a:stretch>
      </xdr:blipFill>
      <xdr:spPr>
        <a:xfrm>
          <a:off x="2302567" y="3105978"/>
          <a:ext cx="5391977" cy="7412935"/>
        </a:xfrm>
        <a:prstGeom prst="rect">
          <a:avLst/>
        </a:prstGeom>
      </xdr:spPr>
    </xdr:pic>
    <xdr:clientData/>
  </xdr:twoCellAnchor>
  <xdr:twoCellAnchor editAs="oneCell">
    <xdr:from>
      <xdr:col>1</xdr:col>
      <xdr:colOff>0</xdr:colOff>
      <xdr:row>1</xdr:row>
      <xdr:rowOff>0</xdr:rowOff>
    </xdr:from>
    <xdr:to>
      <xdr:col>8</xdr:col>
      <xdr:colOff>570658</xdr:colOff>
      <xdr:row>5</xdr:row>
      <xdr:rowOff>138214</xdr:rowOff>
    </xdr:to>
    <xdr:pic>
      <xdr:nvPicPr>
        <xdr:cNvPr id="4" name="Grafik 3">
          <a:extLst>
            <a:ext uri="{FF2B5EF4-FFF2-40B4-BE49-F238E27FC236}">
              <a16:creationId xmlns:a16="http://schemas.microsoft.com/office/drawing/2014/main" id="{A0698FF5-034E-45FA-A0FE-6D244AEB29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89467" y="194733"/>
          <a:ext cx="5303524" cy="100236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17029</xdr:colOff>
      <xdr:row>0</xdr:row>
      <xdr:rowOff>152401</xdr:rowOff>
    </xdr:from>
    <xdr:to>
      <xdr:col>3</xdr:col>
      <xdr:colOff>3511588</xdr:colOff>
      <xdr:row>5</xdr:row>
      <xdr:rowOff>66228</xdr:rowOff>
    </xdr:to>
    <xdr:pic>
      <xdr:nvPicPr>
        <xdr:cNvPr id="3" name="Grafik 2">
          <a:extLst>
            <a:ext uri="{FF2B5EF4-FFF2-40B4-BE49-F238E27FC236}">
              <a16:creationId xmlns:a16="http://schemas.microsoft.com/office/drawing/2014/main" id="{45FEA7E7-CBF6-4524-B1C8-E65D0821E1E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57688" y="152401"/>
          <a:ext cx="5303524" cy="100236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174365</xdr:colOff>
      <xdr:row>5</xdr:row>
      <xdr:rowOff>265766</xdr:rowOff>
    </xdr:to>
    <xdr:pic>
      <xdr:nvPicPr>
        <xdr:cNvPr id="4" name="Grafik 3">
          <a:extLst>
            <a:ext uri="{FF2B5EF4-FFF2-40B4-BE49-F238E27FC236}">
              <a16:creationId xmlns:a16="http://schemas.microsoft.com/office/drawing/2014/main" id="{19D17CAF-A210-42F3-9DD1-A1A751FEA3C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92100" y="190500"/>
          <a:ext cx="5303524" cy="100236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482328</xdr:colOff>
      <xdr:row>104</xdr:row>
      <xdr:rowOff>85771</xdr:rowOff>
    </xdr:from>
    <xdr:to>
      <xdr:col>13</xdr:col>
      <xdr:colOff>411011</xdr:colOff>
      <xdr:row>116</xdr:row>
      <xdr:rowOff>253444</xdr:rowOff>
    </xdr:to>
    <xdr:pic>
      <xdr:nvPicPr>
        <xdr:cNvPr id="5" name="그림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1"/>
        <a:stretch>
          <a:fillRect/>
        </a:stretch>
      </xdr:blipFill>
      <xdr:spPr>
        <a:xfrm>
          <a:off x="7779306" y="21902162"/>
          <a:ext cx="2761335" cy="3348195"/>
        </a:xfrm>
        <a:prstGeom prst="rect">
          <a:avLst/>
        </a:prstGeom>
      </xdr:spPr>
    </xdr:pic>
    <xdr:clientData/>
  </xdr:twoCellAnchor>
  <xdr:twoCellAnchor editAs="oneCell">
    <xdr:from>
      <xdr:col>6</xdr:col>
      <xdr:colOff>729139</xdr:colOff>
      <xdr:row>151</xdr:row>
      <xdr:rowOff>72781</xdr:rowOff>
    </xdr:from>
    <xdr:to>
      <xdr:col>11</xdr:col>
      <xdr:colOff>81722</xdr:colOff>
      <xdr:row>157</xdr:row>
      <xdr:rowOff>152844</xdr:rowOff>
    </xdr:to>
    <xdr:pic>
      <xdr:nvPicPr>
        <xdr:cNvPr id="6" name="그림 5">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2"/>
        <a:stretch>
          <a:fillRect/>
        </a:stretch>
      </xdr:blipFill>
      <xdr:spPr>
        <a:xfrm>
          <a:off x="5822943" y="34627824"/>
          <a:ext cx="3195714" cy="1620629"/>
        </a:xfrm>
        <a:prstGeom prst="rect">
          <a:avLst/>
        </a:prstGeom>
      </xdr:spPr>
    </xdr:pic>
    <xdr:clientData/>
  </xdr:twoCellAnchor>
  <xdr:twoCellAnchor editAs="oneCell">
    <xdr:from>
      <xdr:col>11</xdr:col>
      <xdr:colOff>396529</xdr:colOff>
      <xdr:row>150</xdr:row>
      <xdr:rowOff>209871</xdr:rowOff>
    </xdr:from>
    <xdr:to>
      <xdr:col>20</xdr:col>
      <xdr:colOff>401546</xdr:colOff>
      <xdr:row>158</xdr:row>
      <xdr:rowOff>168575</xdr:rowOff>
    </xdr:to>
    <xdr:pic>
      <xdr:nvPicPr>
        <xdr:cNvPr id="7" name="그림 6">
          <a:extLst>
            <a:ext uri="{FF2B5EF4-FFF2-40B4-BE49-F238E27FC236}">
              <a16:creationId xmlns:a16="http://schemas.microsoft.com/office/drawing/2014/main" id="{00000000-0008-0000-0700-000007000000}"/>
            </a:ext>
          </a:extLst>
        </xdr:cNvPr>
        <xdr:cNvPicPr>
          <a:picLocks noChangeAspect="1"/>
        </xdr:cNvPicPr>
      </xdr:nvPicPr>
      <xdr:blipFill>
        <a:blip xmlns:r="http://schemas.openxmlformats.org/officeDocument/2006/relationships" r:embed="rId3"/>
        <a:stretch>
          <a:fillRect/>
        </a:stretch>
      </xdr:blipFill>
      <xdr:spPr>
        <a:xfrm>
          <a:off x="9333464" y="34499871"/>
          <a:ext cx="5405278" cy="1954813"/>
        </a:xfrm>
        <a:prstGeom prst="rect">
          <a:avLst/>
        </a:prstGeom>
      </xdr:spPr>
    </xdr:pic>
    <xdr:clientData/>
  </xdr:twoCellAnchor>
  <xdr:twoCellAnchor editAs="oneCell">
    <xdr:from>
      <xdr:col>6</xdr:col>
      <xdr:colOff>210211</xdr:colOff>
      <xdr:row>179</xdr:row>
      <xdr:rowOff>166519</xdr:rowOff>
    </xdr:from>
    <xdr:to>
      <xdr:col>10</xdr:col>
      <xdr:colOff>531957</xdr:colOff>
      <xdr:row>191</xdr:row>
      <xdr:rowOff>33131</xdr:rowOff>
    </xdr:to>
    <xdr:pic>
      <xdr:nvPicPr>
        <xdr:cNvPr id="8" name="그림 7">
          <a:extLst>
            <a:ext uri="{FF2B5EF4-FFF2-40B4-BE49-F238E27FC236}">
              <a16:creationId xmlns:a16="http://schemas.microsoft.com/office/drawing/2014/main" id="{00000000-0008-0000-0700-000008000000}"/>
            </a:ext>
          </a:extLst>
        </xdr:cNvPr>
        <xdr:cNvPicPr>
          <a:picLocks noChangeAspect="1"/>
        </xdr:cNvPicPr>
      </xdr:nvPicPr>
      <xdr:blipFill>
        <a:blip xmlns:r="http://schemas.openxmlformats.org/officeDocument/2006/relationships" r:embed="rId4"/>
        <a:stretch>
          <a:fillRect/>
        </a:stretch>
      </xdr:blipFill>
      <xdr:spPr>
        <a:xfrm>
          <a:off x="5304015" y="40469693"/>
          <a:ext cx="3402877" cy="2152612"/>
        </a:xfrm>
        <a:prstGeom prst="rect">
          <a:avLst/>
        </a:prstGeom>
      </xdr:spPr>
    </xdr:pic>
    <xdr:clientData/>
  </xdr:twoCellAnchor>
  <xdr:twoCellAnchor editAs="oneCell">
    <xdr:from>
      <xdr:col>11</xdr:col>
      <xdr:colOff>394430</xdr:colOff>
      <xdr:row>79</xdr:row>
      <xdr:rowOff>94648</xdr:rowOff>
    </xdr:from>
    <xdr:to>
      <xdr:col>21</xdr:col>
      <xdr:colOff>286790</xdr:colOff>
      <xdr:row>89</xdr:row>
      <xdr:rowOff>53998</xdr:rowOff>
    </xdr:to>
    <xdr:pic>
      <xdr:nvPicPr>
        <xdr:cNvPr id="10" name="그림 9">
          <a:extLst>
            <a:ext uri="{FF2B5EF4-FFF2-40B4-BE49-F238E27FC236}">
              <a16:creationId xmlns:a16="http://schemas.microsoft.com/office/drawing/2014/main" id="{00000000-0008-0000-0700-00000A000000}"/>
            </a:ext>
          </a:extLst>
        </xdr:cNvPr>
        <xdr:cNvPicPr>
          <a:picLocks noChangeAspect="1"/>
        </xdr:cNvPicPr>
      </xdr:nvPicPr>
      <xdr:blipFill>
        <a:blip xmlns:r="http://schemas.openxmlformats.org/officeDocument/2006/relationships" r:embed="rId5"/>
        <a:stretch>
          <a:fillRect/>
        </a:stretch>
      </xdr:blipFill>
      <xdr:spPr>
        <a:xfrm>
          <a:off x="9331365" y="17032583"/>
          <a:ext cx="5888968" cy="1922328"/>
        </a:xfrm>
        <a:prstGeom prst="rect">
          <a:avLst/>
        </a:prstGeom>
      </xdr:spPr>
    </xdr:pic>
    <xdr:clientData/>
  </xdr:twoCellAnchor>
  <xdr:twoCellAnchor editAs="oneCell">
    <xdr:from>
      <xdr:col>0</xdr:col>
      <xdr:colOff>53595</xdr:colOff>
      <xdr:row>12</xdr:row>
      <xdr:rowOff>26694</xdr:rowOff>
    </xdr:from>
    <xdr:to>
      <xdr:col>12</xdr:col>
      <xdr:colOff>541395</xdr:colOff>
      <xdr:row>27</xdr:row>
      <xdr:rowOff>146975</xdr:rowOff>
    </xdr:to>
    <xdr:pic>
      <xdr:nvPicPr>
        <xdr:cNvPr id="11" name="그림 10">
          <a:extLst>
            <a:ext uri="{FF2B5EF4-FFF2-40B4-BE49-F238E27FC236}">
              <a16:creationId xmlns:a16="http://schemas.microsoft.com/office/drawing/2014/main" id="{00000000-0008-0000-0700-00000B000000}"/>
            </a:ext>
          </a:extLst>
        </xdr:cNvPr>
        <xdr:cNvPicPr>
          <a:picLocks noChangeAspect="1"/>
        </xdr:cNvPicPr>
      </xdr:nvPicPr>
      <xdr:blipFill>
        <a:blip xmlns:r="http://schemas.openxmlformats.org/officeDocument/2006/relationships" r:embed="rId6"/>
        <a:stretch>
          <a:fillRect/>
        </a:stretch>
      </xdr:blipFill>
      <xdr:spPr>
        <a:xfrm>
          <a:off x="53595" y="2875911"/>
          <a:ext cx="10021083" cy="2936368"/>
        </a:xfrm>
        <a:prstGeom prst="rect">
          <a:avLst/>
        </a:prstGeom>
      </xdr:spPr>
    </xdr:pic>
    <xdr:clientData/>
  </xdr:twoCellAnchor>
  <xdr:twoCellAnchor editAs="oneCell">
    <xdr:from>
      <xdr:col>12</xdr:col>
      <xdr:colOff>230288</xdr:colOff>
      <xdr:row>51</xdr:row>
      <xdr:rowOff>5542</xdr:rowOff>
    </xdr:from>
    <xdr:to>
      <xdr:col>20</xdr:col>
      <xdr:colOff>414814</xdr:colOff>
      <xdr:row>70</xdr:row>
      <xdr:rowOff>0</xdr:rowOff>
    </xdr:to>
    <xdr:pic>
      <xdr:nvPicPr>
        <xdr:cNvPr id="14" name="그림 13">
          <a:extLst>
            <a:ext uri="{FF2B5EF4-FFF2-40B4-BE49-F238E27FC236}">
              <a16:creationId xmlns:a16="http://schemas.microsoft.com/office/drawing/2014/main" id="{D94EBE39-49A6-4232-BAB7-F91D2325EBBB}"/>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9763571" y="10284259"/>
          <a:ext cx="4988439" cy="46244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896890</xdr:colOff>
      <xdr:row>167</xdr:row>
      <xdr:rowOff>163877</xdr:rowOff>
    </xdr:from>
    <xdr:to>
      <xdr:col>14</xdr:col>
      <xdr:colOff>495399</xdr:colOff>
      <xdr:row>174</xdr:row>
      <xdr:rowOff>172367</xdr:rowOff>
    </xdr:to>
    <xdr:pic>
      <xdr:nvPicPr>
        <xdr:cNvPr id="16" name="그림 15">
          <a:extLst>
            <a:ext uri="{FF2B5EF4-FFF2-40B4-BE49-F238E27FC236}">
              <a16:creationId xmlns:a16="http://schemas.microsoft.com/office/drawing/2014/main" id="{B058F0FF-FC30-4017-BCBF-B9872C309911}"/>
            </a:ext>
          </a:extLst>
        </xdr:cNvPr>
        <xdr:cNvPicPr>
          <a:picLocks noChangeAspect="1"/>
        </xdr:cNvPicPr>
      </xdr:nvPicPr>
      <xdr:blipFill>
        <a:blip xmlns:r="http://schemas.openxmlformats.org/officeDocument/2006/relationships" r:embed="rId8"/>
        <a:stretch>
          <a:fillRect/>
        </a:stretch>
      </xdr:blipFill>
      <xdr:spPr>
        <a:xfrm>
          <a:off x="5079607" y="38181051"/>
          <a:ext cx="6141770" cy="1341990"/>
        </a:xfrm>
        <a:prstGeom prst="rect">
          <a:avLst/>
        </a:prstGeom>
      </xdr:spPr>
    </xdr:pic>
    <xdr:clientData/>
  </xdr:twoCellAnchor>
  <xdr:twoCellAnchor editAs="oneCell">
    <xdr:from>
      <xdr:col>1</xdr:col>
      <xdr:colOff>0</xdr:colOff>
      <xdr:row>1</xdr:row>
      <xdr:rowOff>0</xdr:rowOff>
    </xdr:from>
    <xdr:to>
      <xdr:col>6</xdr:col>
      <xdr:colOff>285210</xdr:colOff>
      <xdr:row>6</xdr:row>
      <xdr:rowOff>7833</xdr:rowOff>
    </xdr:to>
    <xdr:pic>
      <xdr:nvPicPr>
        <xdr:cNvPr id="17" name="Grafik 16">
          <a:extLst>
            <a:ext uri="{FF2B5EF4-FFF2-40B4-BE49-F238E27FC236}">
              <a16:creationId xmlns:a16="http://schemas.microsoft.com/office/drawing/2014/main" id="{2FC53A5C-75C3-4A1B-966E-5C8EF1F8ADB4}"/>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261257" y="174171"/>
          <a:ext cx="5303524" cy="1002366"/>
        </a:xfrm>
        <a:prstGeom prst="rect">
          <a:avLst/>
        </a:prstGeom>
      </xdr:spPr>
    </xdr:pic>
    <xdr:clientData/>
  </xdr:twoCellAnchor>
  <xdr:twoCellAnchor editAs="oneCell">
    <xdr:from>
      <xdr:col>6</xdr:col>
      <xdr:colOff>95251</xdr:colOff>
      <xdr:row>61</xdr:row>
      <xdr:rowOff>0</xdr:rowOff>
    </xdr:from>
    <xdr:to>
      <xdr:col>8</xdr:col>
      <xdr:colOff>334150</xdr:colOff>
      <xdr:row>62</xdr:row>
      <xdr:rowOff>89109</xdr:rowOff>
    </xdr:to>
    <xdr:pic>
      <xdr:nvPicPr>
        <xdr:cNvPr id="2" name="Picture 1">
          <a:extLst>
            <a:ext uri="{FF2B5EF4-FFF2-40B4-BE49-F238E27FC236}">
              <a16:creationId xmlns:a16="http://schemas.microsoft.com/office/drawing/2014/main" id="{E0F69B4C-8E77-4AAB-B6EB-2A3D4DC06722}"/>
            </a:ext>
          </a:extLst>
        </xdr:cNvPr>
        <xdr:cNvPicPr>
          <a:picLocks noChangeAspect="1"/>
        </xdr:cNvPicPr>
      </xdr:nvPicPr>
      <xdr:blipFill rotWithShape="1">
        <a:blip xmlns:r="http://schemas.openxmlformats.org/officeDocument/2006/relationships" r:embed="rId10"/>
        <a:srcRect l="1451" t="25476" r="46835" b="13571"/>
        <a:stretch>
          <a:fillRect/>
        </a:stretch>
      </xdr:blipFill>
      <xdr:spPr>
        <a:xfrm>
          <a:off x="5198426" y="12570219"/>
          <a:ext cx="1545979" cy="422832"/>
        </a:xfrm>
        <a:prstGeom prst="rect">
          <a:avLst/>
        </a:prstGeom>
      </xdr:spPr>
    </xdr:pic>
    <xdr:clientData/>
  </xdr:twoCellAnchor>
  <xdr:twoCellAnchor editAs="oneCell">
    <xdr:from>
      <xdr:col>6</xdr:col>
      <xdr:colOff>131883</xdr:colOff>
      <xdr:row>64</xdr:row>
      <xdr:rowOff>2617</xdr:rowOff>
    </xdr:from>
    <xdr:to>
      <xdr:col>7</xdr:col>
      <xdr:colOff>132472</xdr:colOff>
      <xdr:row>65</xdr:row>
      <xdr:rowOff>112943</xdr:rowOff>
    </xdr:to>
    <xdr:pic>
      <xdr:nvPicPr>
        <xdr:cNvPr id="9" name="Picture 8">
          <a:extLst>
            <a:ext uri="{FF2B5EF4-FFF2-40B4-BE49-F238E27FC236}">
              <a16:creationId xmlns:a16="http://schemas.microsoft.com/office/drawing/2014/main" id="{47D7ED1D-4777-4D80-9CEB-28039A8786EF}"/>
            </a:ext>
          </a:extLst>
        </xdr:cNvPr>
        <xdr:cNvPicPr>
          <a:picLocks noChangeAspect="1"/>
        </xdr:cNvPicPr>
      </xdr:nvPicPr>
      <xdr:blipFill>
        <a:blip xmlns:r="http://schemas.openxmlformats.org/officeDocument/2006/relationships" r:embed="rId11"/>
        <a:stretch>
          <a:fillRect/>
        </a:stretch>
      </xdr:blipFill>
      <xdr:spPr>
        <a:xfrm>
          <a:off x="5235058" y="13574004"/>
          <a:ext cx="827943" cy="478811"/>
        </a:xfrm>
        <a:prstGeom prst="rect">
          <a:avLst/>
        </a:prstGeom>
      </xdr:spPr>
    </xdr:pic>
    <xdr:clientData/>
  </xdr:twoCellAnchor>
  <xdr:twoCellAnchor editAs="oneCell">
    <xdr:from>
      <xdr:col>6</xdr:col>
      <xdr:colOff>80594</xdr:colOff>
      <xdr:row>62</xdr:row>
      <xdr:rowOff>25292</xdr:rowOff>
    </xdr:from>
    <xdr:to>
      <xdr:col>8</xdr:col>
      <xdr:colOff>319493</xdr:colOff>
      <xdr:row>63</xdr:row>
      <xdr:rowOff>114402</xdr:rowOff>
    </xdr:to>
    <xdr:pic>
      <xdr:nvPicPr>
        <xdr:cNvPr id="12" name="Picture 11">
          <a:extLst>
            <a:ext uri="{FF2B5EF4-FFF2-40B4-BE49-F238E27FC236}">
              <a16:creationId xmlns:a16="http://schemas.microsoft.com/office/drawing/2014/main" id="{A52E6567-3985-433D-8B0A-B6571C00D0FB}"/>
            </a:ext>
          </a:extLst>
        </xdr:cNvPr>
        <xdr:cNvPicPr>
          <a:picLocks noChangeAspect="1"/>
        </xdr:cNvPicPr>
      </xdr:nvPicPr>
      <xdr:blipFill rotWithShape="1">
        <a:blip xmlns:r="http://schemas.openxmlformats.org/officeDocument/2006/relationships" r:embed="rId10"/>
        <a:srcRect l="1451" t="25476" r="46835" b="13571"/>
        <a:stretch>
          <a:fillRect/>
        </a:stretch>
      </xdr:blipFill>
      <xdr:spPr>
        <a:xfrm>
          <a:off x="5183769" y="12929234"/>
          <a:ext cx="1545979" cy="422832"/>
        </a:xfrm>
        <a:prstGeom prst="rect">
          <a:avLst/>
        </a:prstGeom>
      </xdr:spPr>
    </xdr:pic>
    <xdr:clientData/>
  </xdr:twoCellAnchor>
  <xdr:twoCellAnchor editAs="oneCell">
    <xdr:from>
      <xdr:col>6</xdr:col>
      <xdr:colOff>73267</xdr:colOff>
      <xdr:row>63</xdr:row>
      <xdr:rowOff>6628</xdr:rowOff>
    </xdr:from>
    <xdr:to>
      <xdr:col>8</xdr:col>
      <xdr:colOff>312166</xdr:colOff>
      <xdr:row>64</xdr:row>
      <xdr:rowOff>95737</xdr:rowOff>
    </xdr:to>
    <xdr:pic>
      <xdr:nvPicPr>
        <xdr:cNvPr id="13" name="Picture 12">
          <a:extLst>
            <a:ext uri="{FF2B5EF4-FFF2-40B4-BE49-F238E27FC236}">
              <a16:creationId xmlns:a16="http://schemas.microsoft.com/office/drawing/2014/main" id="{45142E23-8E40-43B9-A4CE-B4A5469969A6}"/>
            </a:ext>
          </a:extLst>
        </xdr:cNvPr>
        <xdr:cNvPicPr>
          <a:picLocks noChangeAspect="1"/>
        </xdr:cNvPicPr>
      </xdr:nvPicPr>
      <xdr:blipFill rotWithShape="1">
        <a:blip xmlns:r="http://schemas.openxmlformats.org/officeDocument/2006/relationships" r:embed="rId10"/>
        <a:srcRect l="1451" t="25476" r="46835" b="13571"/>
        <a:stretch>
          <a:fillRect/>
        </a:stretch>
      </xdr:blipFill>
      <xdr:spPr>
        <a:xfrm>
          <a:off x="5176442" y="13244292"/>
          <a:ext cx="1545979" cy="422832"/>
        </a:xfrm>
        <a:prstGeom prst="rect">
          <a:avLst/>
        </a:prstGeom>
      </xdr:spPr>
    </xdr:pic>
    <xdr:clientData/>
  </xdr:twoCellAnchor>
  <xdr:twoCellAnchor editAs="oneCell">
    <xdr:from>
      <xdr:col>6</xdr:col>
      <xdr:colOff>69525</xdr:colOff>
      <xdr:row>65</xdr:row>
      <xdr:rowOff>52516</xdr:rowOff>
    </xdr:from>
    <xdr:to>
      <xdr:col>10</xdr:col>
      <xdr:colOff>755581</xdr:colOff>
      <xdr:row>67</xdr:row>
      <xdr:rowOff>25293</xdr:rowOff>
    </xdr:to>
    <xdr:pic>
      <xdr:nvPicPr>
        <xdr:cNvPr id="20" name="Picture 19">
          <a:extLst>
            <a:ext uri="{FF2B5EF4-FFF2-40B4-BE49-F238E27FC236}">
              <a16:creationId xmlns:a16="http://schemas.microsoft.com/office/drawing/2014/main" id="{447B3A8E-C674-432B-AAEA-CDEA330FE9D4}"/>
            </a:ext>
          </a:extLst>
        </xdr:cNvPr>
        <xdr:cNvPicPr>
          <a:picLocks noChangeAspect="1"/>
        </xdr:cNvPicPr>
      </xdr:nvPicPr>
      <xdr:blipFill>
        <a:blip xmlns:r="http://schemas.openxmlformats.org/officeDocument/2006/relationships" r:embed="rId12"/>
        <a:stretch>
          <a:fillRect/>
        </a:stretch>
      </xdr:blipFill>
      <xdr:spPr>
        <a:xfrm>
          <a:off x="5172700" y="13992388"/>
          <a:ext cx="3766038" cy="528982"/>
        </a:xfrm>
        <a:prstGeom prst="rect">
          <a:avLst/>
        </a:prstGeom>
      </xdr:spPr>
    </xdr:pic>
    <xdr:clientData/>
  </xdr:twoCellAnchor>
  <xdr:twoCellAnchor editAs="oneCell">
    <xdr:from>
      <xdr:col>6</xdr:col>
      <xdr:colOff>111241</xdr:colOff>
      <xdr:row>147</xdr:row>
      <xdr:rowOff>187719</xdr:rowOff>
    </xdr:from>
    <xdr:to>
      <xdr:col>16</xdr:col>
      <xdr:colOff>507364</xdr:colOff>
      <xdr:row>149</xdr:row>
      <xdr:rowOff>113212</xdr:rowOff>
    </xdr:to>
    <xdr:pic>
      <xdr:nvPicPr>
        <xdr:cNvPr id="21" name="Picture 20">
          <a:extLst>
            <a:ext uri="{FF2B5EF4-FFF2-40B4-BE49-F238E27FC236}">
              <a16:creationId xmlns:a16="http://schemas.microsoft.com/office/drawing/2014/main" id="{9A2CFC73-7DB2-4941-BAC0-D0F0B4BBDEA4}"/>
            </a:ext>
          </a:extLst>
        </xdr:cNvPr>
        <xdr:cNvPicPr>
          <a:picLocks noChangeAspect="1"/>
        </xdr:cNvPicPr>
      </xdr:nvPicPr>
      <xdr:blipFill>
        <a:blip xmlns:r="http://schemas.openxmlformats.org/officeDocument/2006/relationships" r:embed="rId13"/>
        <a:stretch>
          <a:fillRect/>
        </a:stretch>
      </xdr:blipFill>
      <xdr:spPr>
        <a:xfrm>
          <a:off x="5214416" y="33483504"/>
          <a:ext cx="7230484" cy="67636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1045813</xdr:colOff>
      <xdr:row>5</xdr:row>
      <xdr:rowOff>112009</xdr:rowOff>
    </xdr:to>
    <xdr:pic>
      <xdr:nvPicPr>
        <xdr:cNvPr id="4" name="Grafik 3">
          <a:extLst>
            <a:ext uri="{FF2B5EF4-FFF2-40B4-BE49-F238E27FC236}">
              <a16:creationId xmlns:a16="http://schemas.microsoft.com/office/drawing/2014/main" id="{FD0B18F6-843A-4A10-B21E-649E2C7F9C8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90525" y="190500"/>
          <a:ext cx="5303524" cy="100236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231321</xdr:colOff>
      <xdr:row>1</xdr:row>
      <xdr:rowOff>81643</xdr:rowOff>
    </xdr:from>
    <xdr:to>
      <xdr:col>6</xdr:col>
      <xdr:colOff>27546</xdr:colOff>
      <xdr:row>7</xdr:row>
      <xdr:rowOff>19386</xdr:rowOff>
    </xdr:to>
    <xdr:pic>
      <xdr:nvPicPr>
        <xdr:cNvPr id="5" name="Grafik 4">
          <a:extLst>
            <a:ext uri="{FF2B5EF4-FFF2-40B4-BE49-F238E27FC236}">
              <a16:creationId xmlns:a16="http://schemas.microsoft.com/office/drawing/2014/main" id="{8E757FDF-1B20-47A7-85C8-E5BBB1B6524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1321" y="272143"/>
          <a:ext cx="5298537" cy="97732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xdr:row>
      <xdr:rowOff>100852</xdr:rowOff>
    </xdr:from>
    <xdr:to>
      <xdr:col>3</xdr:col>
      <xdr:colOff>10295</xdr:colOff>
      <xdr:row>6</xdr:row>
      <xdr:rowOff>145047</xdr:rowOff>
    </xdr:to>
    <xdr:pic>
      <xdr:nvPicPr>
        <xdr:cNvPr id="3" name="그림 2">
          <a:extLst>
            <a:ext uri="{FF2B5EF4-FFF2-40B4-BE49-F238E27FC236}">
              <a16:creationId xmlns:a16="http://schemas.microsoft.com/office/drawing/2014/main" id="{DCE88E6A-F300-4A2E-82C9-C882EEA526A3}"/>
            </a:ext>
          </a:extLst>
        </xdr:cNvPr>
        <xdr:cNvPicPr>
          <a:picLocks noChangeAspect="1"/>
        </xdr:cNvPicPr>
      </xdr:nvPicPr>
      <xdr:blipFill>
        <a:blip xmlns:r="http://schemas.openxmlformats.org/officeDocument/2006/relationships" r:embed="rId1"/>
        <a:stretch>
          <a:fillRect/>
        </a:stretch>
      </xdr:blipFill>
      <xdr:spPr>
        <a:xfrm>
          <a:off x="425824" y="291352"/>
          <a:ext cx="1434352" cy="100890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7</xdr:col>
      <xdr:colOff>99113</xdr:colOff>
      <xdr:row>5</xdr:row>
      <xdr:rowOff>189566</xdr:rowOff>
    </xdr:to>
    <xdr:pic>
      <xdr:nvPicPr>
        <xdr:cNvPr id="2" name="Grafik 1">
          <a:extLst>
            <a:ext uri="{FF2B5EF4-FFF2-40B4-BE49-F238E27FC236}">
              <a16:creationId xmlns:a16="http://schemas.microsoft.com/office/drawing/2014/main" id="{D1959F17-DED7-43D9-BDA2-76FB1F90141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74133" y="194733"/>
          <a:ext cx="5303524" cy="100236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9</xdr:col>
      <xdr:colOff>342058</xdr:colOff>
      <xdr:row>6</xdr:row>
      <xdr:rowOff>41400</xdr:rowOff>
    </xdr:to>
    <xdr:pic>
      <xdr:nvPicPr>
        <xdr:cNvPr id="3" name="Grafik 2">
          <a:extLst>
            <a:ext uri="{FF2B5EF4-FFF2-40B4-BE49-F238E27FC236}">
              <a16:creationId xmlns:a16="http://schemas.microsoft.com/office/drawing/2014/main" id="{ABA4D7BE-BA40-46B1-B7EC-9AC40877E2F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9467" y="194733"/>
          <a:ext cx="5303524" cy="1002366"/>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4</xdr:col>
      <xdr:colOff>3015678</xdr:colOff>
      <xdr:row>6</xdr:row>
      <xdr:rowOff>5046</xdr:rowOff>
    </xdr:to>
    <xdr:pic>
      <xdr:nvPicPr>
        <xdr:cNvPr id="3" name="Grafik 2">
          <a:extLst>
            <a:ext uri="{FF2B5EF4-FFF2-40B4-BE49-F238E27FC236}">
              <a16:creationId xmlns:a16="http://schemas.microsoft.com/office/drawing/2014/main" id="{64F77DB8-E85D-49D0-814D-A1DE9FBE6F7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91886" y="195943"/>
          <a:ext cx="5303524" cy="1002366"/>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openxmlformats.org/officeDocument/2006/relationships/comments" Target="../comments1.xml"/><Relationship Id="rId4" Type="http://schemas.openxmlformats.org/officeDocument/2006/relationships/vmlDrawing" Target="../drawings/vmlDrawing6.v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1.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AH64"/>
  <sheetViews>
    <sheetView showGridLines="0" topLeftCell="A22" zoomScale="130" zoomScaleNormal="130" zoomScaleSheetLayoutView="70" workbookViewId="0">
      <selection activeCell="I32" sqref="I32"/>
    </sheetView>
  </sheetViews>
  <sheetFormatPr defaultColWidth="9" defaultRowHeight="13.5"/>
  <cols>
    <col min="1" max="1" width="5" style="342" customWidth="1"/>
    <col min="2" max="3" width="8.42578125" style="342" customWidth="1"/>
    <col min="4" max="4" width="19.7109375" style="342" customWidth="1"/>
    <col min="5" max="5" width="15.7109375" style="342" customWidth="1"/>
    <col min="6" max="6" width="47" style="342" customWidth="1"/>
    <col min="7" max="7" width="33.28515625" style="342" customWidth="1"/>
    <col min="8" max="8" width="20.42578125" style="342" customWidth="1"/>
    <col min="9" max="9" width="17.42578125" style="342" customWidth="1"/>
    <col min="10" max="10" width="14.7109375" style="342" bestFit="1" customWidth="1"/>
    <col min="11" max="11" width="5" style="342" customWidth="1"/>
    <col min="12" max="16384" width="9" style="342"/>
  </cols>
  <sheetData>
    <row r="3" spans="1:34" ht="15.75">
      <c r="B3" s="758"/>
      <c r="C3" s="758"/>
      <c r="D3" s="758"/>
      <c r="E3" s="758"/>
      <c r="F3" s="759"/>
      <c r="G3" s="759"/>
      <c r="H3" s="11" t="s">
        <v>6</v>
      </c>
      <c r="I3" s="760" t="str">
        <f>F18</f>
        <v>ELM-803-FS-0001</v>
      </c>
      <c r="J3" s="761"/>
    </row>
    <row r="4" spans="1:34" ht="15.75">
      <c r="B4" s="758"/>
      <c r="C4" s="758"/>
      <c r="D4" s="758"/>
      <c r="E4" s="758"/>
      <c r="F4" s="759"/>
      <c r="G4" s="759"/>
      <c r="H4" s="14" t="s">
        <v>7</v>
      </c>
      <c r="I4" s="15" t="str">
        <f>F19</f>
        <v>Safety Manager</v>
      </c>
      <c r="J4" s="40" t="str">
        <f>Cover!$G$19</f>
        <v>I. Kök</v>
      </c>
    </row>
    <row r="5" spans="1:34" ht="15.75">
      <c r="B5" s="758"/>
      <c r="C5" s="758"/>
      <c r="D5" s="758"/>
      <c r="E5" s="758"/>
      <c r="F5" s="759"/>
      <c r="G5" s="759"/>
      <c r="H5" s="14" t="s">
        <v>8</v>
      </c>
      <c r="I5" s="762" t="str">
        <f>F20</f>
        <v>B2</v>
      </c>
      <c r="J5" s="763"/>
    </row>
    <row r="6" spans="1:34" ht="25.5" customHeight="1">
      <c r="B6" s="758"/>
      <c r="C6" s="758"/>
      <c r="D6" s="758"/>
      <c r="E6" s="758"/>
      <c r="F6" s="354"/>
      <c r="G6" s="354"/>
      <c r="H6" s="20" t="s">
        <v>9</v>
      </c>
      <c r="I6" s="764" t="str">
        <f>F21</f>
        <v>approved after review</v>
      </c>
      <c r="J6" s="765"/>
    </row>
    <row r="7" spans="1:34" s="125" customFormat="1" ht="36.75" customHeight="1">
      <c r="A7" s="757" t="s">
        <v>18</v>
      </c>
      <c r="B7" s="757"/>
      <c r="C7" s="757"/>
      <c r="D7" s="757"/>
      <c r="E7" s="757"/>
      <c r="F7" s="757"/>
      <c r="G7" s="757"/>
      <c r="H7" s="757"/>
      <c r="I7" s="757"/>
      <c r="J7" s="757"/>
      <c r="K7" s="757"/>
      <c r="L7" s="148"/>
      <c r="M7" s="148"/>
      <c r="N7" s="148"/>
      <c r="O7" s="148"/>
      <c r="P7" s="148"/>
      <c r="Q7" s="148"/>
      <c r="R7" s="148"/>
      <c r="S7" s="148"/>
      <c r="U7" s="148"/>
      <c r="V7" s="148"/>
      <c r="W7" s="148"/>
      <c r="X7" s="148"/>
      <c r="Y7" s="148"/>
      <c r="AA7" s="148"/>
      <c r="AB7" s="148"/>
      <c r="AC7" s="148"/>
      <c r="AD7" s="148"/>
      <c r="AF7" s="148"/>
      <c r="AG7" s="148"/>
      <c r="AH7" s="148"/>
    </row>
    <row r="8" spans="1:34" s="125" customFormat="1" ht="10.5" customHeight="1">
      <c r="B8" s="341"/>
      <c r="C8" s="341"/>
      <c r="D8" s="341"/>
      <c r="E8" s="341"/>
      <c r="F8" s="341"/>
      <c r="G8" s="341"/>
      <c r="H8" s="341"/>
      <c r="I8" s="341"/>
      <c r="J8" s="341"/>
      <c r="K8" s="341"/>
      <c r="L8" s="148"/>
      <c r="M8" s="148"/>
      <c r="N8" s="148"/>
      <c r="O8" s="148"/>
      <c r="P8" s="148"/>
      <c r="Q8" s="148"/>
      <c r="R8" s="148"/>
      <c r="S8" s="148"/>
      <c r="U8" s="148"/>
      <c r="V8" s="148"/>
      <c r="W8" s="148"/>
      <c r="X8" s="148"/>
      <c r="Y8" s="148"/>
      <c r="AA8" s="148"/>
      <c r="AB8" s="148"/>
      <c r="AC8" s="148"/>
      <c r="AD8" s="148"/>
      <c r="AF8" s="148"/>
      <c r="AG8" s="148"/>
      <c r="AH8" s="148"/>
    </row>
    <row r="9" spans="1:34" s="125" customFormat="1" ht="30" customHeight="1">
      <c r="A9" s="766" t="s">
        <v>1162</v>
      </c>
      <c r="B9" s="767"/>
      <c r="C9" s="767"/>
      <c r="D9" s="767"/>
      <c r="E9" s="767"/>
      <c r="F9" s="767"/>
      <c r="G9" s="767"/>
      <c r="H9" s="767"/>
      <c r="I9" s="767"/>
      <c r="J9" s="767"/>
      <c r="K9" s="768"/>
      <c r="L9" s="148"/>
      <c r="M9" s="148"/>
      <c r="N9" s="148"/>
      <c r="O9" s="148"/>
      <c r="P9" s="148"/>
      <c r="Q9" s="148"/>
      <c r="R9" s="148"/>
      <c r="S9" s="148"/>
      <c r="U9" s="148"/>
      <c r="V9" s="148"/>
      <c r="W9" s="148"/>
      <c r="X9" s="148"/>
      <c r="Y9" s="148"/>
      <c r="AA9" s="148"/>
      <c r="AB9" s="148"/>
      <c r="AC9" s="148"/>
      <c r="AD9" s="148"/>
      <c r="AF9" s="148"/>
      <c r="AG9" s="148"/>
      <c r="AH9" s="148"/>
    </row>
    <row r="10" spans="1:34" s="125" customFormat="1" ht="15.75">
      <c r="C10" s="355"/>
      <c r="D10" s="355"/>
      <c r="E10" s="355"/>
      <c r="F10" s="355"/>
      <c r="G10" s="355"/>
      <c r="H10" s="355"/>
      <c r="I10" s="356"/>
      <c r="J10" s="356"/>
      <c r="K10" s="357"/>
      <c r="L10" s="148"/>
      <c r="M10" s="148"/>
      <c r="N10" s="148"/>
      <c r="O10" s="148"/>
      <c r="P10" s="148"/>
      <c r="Q10" s="148"/>
      <c r="R10" s="148"/>
      <c r="S10" s="148"/>
      <c r="U10" s="148"/>
      <c r="V10" s="148"/>
      <c r="W10" s="148"/>
      <c r="X10" s="148"/>
      <c r="Y10" s="148"/>
      <c r="AA10" s="148"/>
      <c r="AB10" s="148"/>
      <c r="AC10" s="148"/>
      <c r="AD10" s="148"/>
      <c r="AF10" s="148"/>
      <c r="AG10" s="148"/>
      <c r="AH10" s="148"/>
    </row>
    <row r="11" spans="1:34">
      <c r="B11" s="354"/>
      <c r="C11" s="354"/>
      <c r="D11" s="354"/>
      <c r="E11" s="354"/>
      <c r="F11" s="354"/>
      <c r="G11" s="354"/>
      <c r="H11" s="354"/>
      <c r="I11" s="354"/>
    </row>
    <row r="12" spans="1:34" ht="13.5" customHeight="1">
      <c r="B12" s="759"/>
      <c r="C12" s="759"/>
      <c r="D12" s="759"/>
      <c r="E12" s="759"/>
      <c r="F12" s="759"/>
      <c r="G12" s="759"/>
      <c r="H12" s="759"/>
      <c r="I12" s="759"/>
    </row>
    <row r="13" spans="1:34" ht="13.5" customHeight="1">
      <c r="B13" s="759"/>
      <c r="C13" s="759"/>
      <c r="D13" s="759"/>
      <c r="E13" s="759"/>
      <c r="F13" s="759"/>
      <c r="G13" s="759"/>
      <c r="H13" s="759"/>
      <c r="I13" s="759"/>
    </row>
    <row r="14" spans="1:34" ht="13.5" customHeight="1">
      <c r="B14" s="759"/>
      <c r="C14" s="759"/>
      <c r="D14" s="759"/>
      <c r="E14" s="759"/>
      <c r="F14" s="759"/>
      <c r="G14" s="759"/>
      <c r="H14" s="759"/>
      <c r="I14" s="759"/>
    </row>
    <row r="15" spans="1:34" ht="14.25" customHeight="1">
      <c r="B15" s="759"/>
      <c r="C15" s="759"/>
      <c r="D15" s="759"/>
      <c r="E15" s="759"/>
      <c r="F15" s="759"/>
      <c r="G15" s="759"/>
      <c r="H15" s="759"/>
      <c r="I15" s="759"/>
    </row>
    <row r="16" spans="1:34">
      <c r="B16" s="354"/>
      <c r="C16" s="354"/>
      <c r="D16" s="354"/>
      <c r="E16" s="354"/>
      <c r="F16" s="354"/>
      <c r="G16" s="354"/>
      <c r="H16" s="354"/>
      <c r="I16" s="354"/>
    </row>
    <row r="17" spans="2:9">
      <c r="B17" s="354"/>
      <c r="C17" s="354"/>
      <c r="D17" s="354"/>
      <c r="E17" s="354"/>
      <c r="F17" s="354"/>
      <c r="G17" s="354"/>
      <c r="H17" s="354"/>
      <c r="I17" s="354"/>
    </row>
    <row r="18" spans="2:9" ht="24">
      <c r="B18" s="354"/>
      <c r="C18" s="354"/>
      <c r="D18" s="769" t="s">
        <v>6</v>
      </c>
      <c r="E18" s="770"/>
      <c r="F18" s="771" t="s">
        <v>882</v>
      </c>
      <c r="G18" s="771"/>
      <c r="H18" s="772"/>
      <c r="I18" s="354"/>
    </row>
    <row r="19" spans="2:9" ht="24">
      <c r="B19" s="354"/>
      <c r="C19" s="354"/>
      <c r="D19" s="773" t="s">
        <v>10</v>
      </c>
      <c r="E19" s="774"/>
      <c r="F19" s="358" t="s">
        <v>11</v>
      </c>
      <c r="G19" s="775" t="s">
        <v>827</v>
      </c>
      <c r="H19" s="776"/>
      <c r="I19" s="354"/>
    </row>
    <row r="20" spans="2:9" ht="24">
      <c r="B20" s="354"/>
      <c r="C20" s="354"/>
      <c r="D20" s="773" t="s">
        <v>12</v>
      </c>
      <c r="E20" s="774"/>
      <c r="F20" s="775" t="s">
        <v>1412</v>
      </c>
      <c r="G20" s="784"/>
      <c r="H20" s="776"/>
      <c r="I20" s="354"/>
    </row>
    <row r="21" spans="2:9" ht="24">
      <c r="B21" s="354"/>
      <c r="C21" s="354"/>
      <c r="D21" s="785" t="s">
        <v>9</v>
      </c>
      <c r="E21" s="786"/>
      <c r="F21" s="787" t="s">
        <v>1057</v>
      </c>
      <c r="G21" s="787"/>
      <c r="H21" s="788"/>
      <c r="I21" s="354"/>
    </row>
    <row r="22" spans="2:9">
      <c r="B22" s="354"/>
      <c r="C22" s="354"/>
      <c r="D22" s="360"/>
      <c r="E22" s="360"/>
      <c r="F22" s="360"/>
      <c r="G22" s="354"/>
      <c r="H22" s="354"/>
      <c r="I22" s="354"/>
    </row>
    <row r="23" spans="2:9">
      <c r="B23" s="354"/>
      <c r="C23" s="354"/>
      <c r="D23" s="360"/>
      <c r="E23" s="360"/>
      <c r="F23" s="360"/>
      <c r="G23" s="354"/>
      <c r="H23" s="354"/>
      <c r="I23" s="354"/>
    </row>
    <row r="24" spans="2:9" ht="15.75" customHeight="1">
      <c r="B24" s="361"/>
      <c r="C24" s="361"/>
      <c r="D24" s="361"/>
      <c r="E24" s="361"/>
      <c r="F24" s="362"/>
      <c r="G24" s="362"/>
      <c r="H24" s="361"/>
      <c r="I24" s="361"/>
    </row>
    <row r="29" spans="2:9" ht="15.75">
      <c r="B29" s="361"/>
      <c r="C29" s="361"/>
      <c r="D29" s="363"/>
      <c r="E29" s="363"/>
      <c r="F29" s="364"/>
      <c r="G29" s="364"/>
      <c r="H29" s="363"/>
      <c r="I29" s="361"/>
    </row>
    <row r="30" spans="2:9" ht="24">
      <c r="B30" s="361"/>
      <c r="C30" s="361"/>
      <c r="D30" s="789"/>
      <c r="E30" s="790"/>
      <c r="F30" s="365" t="s">
        <v>13</v>
      </c>
      <c r="G30" s="365" t="s">
        <v>818</v>
      </c>
      <c r="H30" s="366" t="s">
        <v>14</v>
      </c>
      <c r="I30" s="366" t="s">
        <v>824</v>
      </c>
    </row>
    <row r="31" spans="2:9" ht="24">
      <c r="B31" s="361"/>
      <c r="C31" s="361"/>
      <c r="D31" s="780" t="s">
        <v>15</v>
      </c>
      <c r="E31" s="781"/>
      <c r="F31" s="358" t="s">
        <v>826</v>
      </c>
      <c r="G31" s="358" t="s">
        <v>1008</v>
      </c>
      <c r="H31" s="367"/>
      <c r="I31" s="368">
        <v>45910</v>
      </c>
    </row>
    <row r="32" spans="2:9" ht="24">
      <c r="B32" s="361"/>
      <c r="C32" s="361"/>
      <c r="D32" s="780" t="s">
        <v>16</v>
      </c>
      <c r="E32" s="781"/>
      <c r="F32" s="358" t="s">
        <v>1019</v>
      </c>
      <c r="G32" s="358" t="s">
        <v>1020</v>
      </c>
      <c r="H32" s="369"/>
      <c r="I32" s="370">
        <v>45991</v>
      </c>
    </row>
    <row r="33" spans="2:9" ht="24">
      <c r="B33" s="361"/>
      <c r="C33" s="361"/>
      <c r="D33" s="780" t="s">
        <v>17</v>
      </c>
      <c r="E33" s="781"/>
      <c r="F33" s="358"/>
      <c r="G33" s="358"/>
      <c r="H33" s="371"/>
      <c r="I33" s="367"/>
    </row>
    <row r="34" spans="2:9" ht="24">
      <c r="B34" s="361"/>
      <c r="C34" s="361"/>
      <c r="D34" s="782" t="s">
        <v>606</v>
      </c>
      <c r="E34" s="783"/>
      <c r="F34" s="359" t="s">
        <v>1058</v>
      </c>
      <c r="G34" s="359" t="s">
        <v>1059</v>
      </c>
      <c r="H34" s="372"/>
      <c r="I34" s="370">
        <v>45911</v>
      </c>
    </row>
    <row r="35" spans="2:9">
      <c r="B35" s="373"/>
      <c r="C35" s="373"/>
      <c r="D35" s="374"/>
      <c r="E35" s="374"/>
      <c r="F35" s="375"/>
      <c r="G35" s="376"/>
      <c r="H35" s="375"/>
      <c r="I35" s="377"/>
    </row>
    <row r="36" spans="2:9">
      <c r="B36" s="378"/>
      <c r="C36" s="378"/>
      <c r="D36" s="379"/>
      <c r="E36" s="379"/>
      <c r="F36" s="375"/>
      <c r="G36" s="380"/>
      <c r="H36" s="375"/>
      <c r="I36" s="377"/>
    </row>
    <row r="37" spans="2:9">
      <c r="B37" s="378"/>
      <c r="C37" s="378"/>
      <c r="D37" s="379"/>
      <c r="E37" s="379"/>
      <c r="F37" s="375"/>
      <c r="G37" s="380"/>
      <c r="H37" s="375"/>
      <c r="I37" s="377"/>
    </row>
    <row r="38" spans="2:9">
      <c r="B38" s="378"/>
      <c r="C38" s="378"/>
      <c r="D38" s="379"/>
      <c r="E38" s="379"/>
      <c r="F38" s="375"/>
      <c r="G38" s="380"/>
      <c r="H38" s="375"/>
      <c r="I38" s="377"/>
    </row>
    <row r="39" spans="2:9">
      <c r="B39" s="378"/>
      <c r="C39" s="378"/>
      <c r="D39" s="379"/>
      <c r="E39" s="379"/>
      <c r="F39" s="375"/>
      <c r="G39" s="380"/>
      <c r="H39" s="375"/>
      <c r="I39" s="377"/>
    </row>
    <row r="40" spans="2:9" ht="24">
      <c r="B40" s="378"/>
      <c r="C40" s="378"/>
      <c r="D40" s="777" t="s">
        <v>820</v>
      </c>
      <c r="E40" s="778"/>
      <c r="F40" s="778"/>
      <c r="G40" s="779"/>
      <c r="H40" s="375"/>
      <c r="I40" s="377"/>
    </row>
    <row r="41" spans="2:9" ht="24">
      <c r="B41" s="378"/>
      <c r="C41" s="378"/>
      <c r="D41" s="381" t="s">
        <v>821</v>
      </c>
      <c r="E41" s="381" t="s">
        <v>822</v>
      </c>
      <c r="F41" s="382" t="s">
        <v>823</v>
      </c>
      <c r="G41" s="381" t="s">
        <v>824</v>
      </c>
      <c r="H41" s="375"/>
      <c r="I41" s="383"/>
    </row>
    <row r="42" spans="2:9">
      <c r="B42" s="378"/>
      <c r="C42" s="378"/>
      <c r="D42" s="385" t="s">
        <v>826</v>
      </c>
      <c r="E42" s="386">
        <v>0.1</v>
      </c>
      <c r="F42" s="387" t="s">
        <v>825</v>
      </c>
      <c r="G42" s="388">
        <v>45855</v>
      </c>
      <c r="H42" s="375"/>
      <c r="I42" s="377"/>
    </row>
    <row r="43" spans="2:9">
      <c r="B43" s="378"/>
      <c r="C43" s="378"/>
      <c r="D43" s="385" t="s">
        <v>826</v>
      </c>
      <c r="E43" s="386">
        <v>0.2</v>
      </c>
      <c r="F43" s="387" t="s">
        <v>883</v>
      </c>
      <c r="G43" s="388">
        <v>45856</v>
      </c>
      <c r="H43" s="375"/>
      <c r="I43" s="377"/>
    </row>
    <row r="44" spans="2:9">
      <c r="B44" s="378"/>
      <c r="C44" s="378"/>
      <c r="D44" s="385" t="s">
        <v>826</v>
      </c>
      <c r="E44" s="386">
        <v>0.3</v>
      </c>
      <c r="F44" s="387" t="s">
        <v>935</v>
      </c>
      <c r="G44" s="388">
        <v>45864</v>
      </c>
      <c r="H44" s="375"/>
      <c r="I44" s="377"/>
    </row>
    <row r="45" spans="2:9">
      <c r="B45" s="378"/>
      <c r="C45" s="378"/>
      <c r="D45" s="385" t="s">
        <v>826</v>
      </c>
      <c r="E45" s="386">
        <v>0.4</v>
      </c>
      <c r="F45" s="387" t="s">
        <v>936</v>
      </c>
      <c r="G45" s="388">
        <v>45865</v>
      </c>
      <c r="H45" s="375"/>
      <c r="I45" s="377"/>
    </row>
    <row r="46" spans="2:9">
      <c r="B46" s="378"/>
      <c r="C46" s="378"/>
      <c r="D46" s="385" t="s">
        <v>826</v>
      </c>
      <c r="E46" s="386">
        <v>0.5</v>
      </c>
      <c r="F46" s="387" t="s">
        <v>1006</v>
      </c>
      <c r="G46" s="388">
        <v>45867</v>
      </c>
      <c r="H46" s="375"/>
      <c r="I46" s="377"/>
    </row>
    <row r="47" spans="2:9">
      <c r="B47" s="378"/>
      <c r="C47" s="378"/>
      <c r="D47" s="385" t="s">
        <v>826</v>
      </c>
      <c r="E47" s="386">
        <v>0.6</v>
      </c>
      <c r="F47" s="387" t="s">
        <v>1007</v>
      </c>
      <c r="G47" s="388">
        <v>45869</v>
      </c>
      <c r="H47" s="375"/>
      <c r="I47" s="377"/>
    </row>
    <row r="48" spans="2:9">
      <c r="B48" s="378"/>
      <c r="C48" s="378"/>
      <c r="D48" s="385" t="s">
        <v>826</v>
      </c>
      <c r="E48" s="386">
        <v>0.7</v>
      </c>
      <c r="F48" s="387" t="s">
        <v>1018</v>
      </c>
      <c r="G48" s="388">
        <v>45888</v>
      </c>
      <c r="H48" s="375"/>
      <c r="I48" s="377"/>
    </row>
    <row r="49" spans="2:9">
      <c r="B49" s="360"/>
      <c r="C49" s="360"/>
      <c r="D49" s="385" t="s">
        <v>826</v>
      </c>
      <c r="E49" s="386">
        <v>0.8</v>
      </c>
      <c r="F49" s="387" t="s">
        <v>1023</v>
      </c>
      <c r="G49" s="388">
        <v>45902</v>
      </c>
      <c r="H49" s="360"/>
      <c r="I49" s="360"/>
    </row>
    <row r="50" spans="2:9">
      <c r="B50" s="360"/>
      <c r="C50" s="360"/>
      <c r="D50" s="385" t="s">
        <v>826</v>
      </c>
      <c r="E50" s="386">
        <v>0.9</v>
      </c>
      <c r="F50" s="387" t="s">
        <v>1024</v>
      </c>
      <c r="G50" s="388">
        <v>45903</v>
      </c>
      <c r="H50" s="360"/>
      <c r="I50" s="360"/>
    </row>
    <row r="51" spans="2:9">
      <c r="B51" s="360"/>
      <c r="C51" s="360"/>
      <c r="D51" s="385" t="s">
        <v>826</v>
      </c>
      <c r="E51" s="386">
        <v>0.1</v>
      </c>
      <c r="F51" s="387" t="s">
        <v>1024</v>
      </c>
      <c r="G51" s="388">
        <v>45904</v>
      </c>
      <c r="H51" s="360"/>
      <c r="I51" s="360"/>
    </row>
    <row r="52" spans="2:9">
      <c r="B52" s="360"/>
      <c r="C52" s="360"/>
      <c r="D52" s="385" t="s">
        <v>826</v>
      </c>
      <c r="E52" s="386">
        <v>0.11</v>
      </c>
      <c r="F52" s="387" t="s">
        <v>1024</v>
      </c>
      <c r="G52" s="388">
        <v>45905</v>
      </c>
      <c r="H52" s="360"/>
      <c r="I52" s="360"/>
    </row>
    <row r="53" spans="2:9">
      <c r="B53" s="360"/>
      <c r="C53" s="360"/>
      <c r="D53" s="385" t="s">
        <v>1019</v>
      </c>
      <c r="E53" s="386">
        <v>0.12</v>
      </c>
      <c r="F53" s="387" t="s">
        <v>1024</v>
      </c>
      <c r="G53" s="388">
        <v>45909</v>
      </c>
      <c r="H53" s="360"/>
      <c r="I53" s="360"/>
    </row>
    <row r="54" spans="2:9">
      <c r="B54" s="360"/>
      <c r="C54" s="360"/>
      <c r="D54" s="385" t="s">
        <v>1019</v>
      </c>
      <c r="E54" s="386">
        <v>0.13</v>
      </c>
      <c r="F54" s="387" t="s">
        <v>1052</v>
      </c>
      <c r="G54" s="388">
        <v>45910</v>
      </c>
      <c r="H54" s="360"/>
      <c r="I54" s="360"/>
    </row>
    <row r="55" spans="2:9">
      <c r="B55" s="360"/>
      <c r="C55" s="360"/>
      <c r="D55" s="385" t="s">
        <v>1019</v>
      </c>
      <c r="E55" s="386">
        <v>0.14000000000000001</v>
      </c>
      <c r="F55" s="387" t="s">
        <v>1052</v>
      </c>
      <c r="G55" s="388">
        <v>45910</v>
      </c>
      <c r="H55" s="360"/>
      <c r="I55" s="360"/>
    </row>
    <row r="56" spans="2:9">
      <c r="B56" s="360"/>
      <c r="C56" s="360"/>
      <c r="D56" s="385" t="s">
        <v>1058</v>
      </c>
      <c r="E56" s="386" t="s">
        <v>1060</v>
      </c>
      <c r="F56" s="387" t="s">
        <v>1056</v>
      </c>
      <c r="G56" s="388">
        <v>45911</v>
      </c>
      <c r="H56" s="360"/>
      <c r="I56" s="360"/>
    </row>
    <row r="57" spans="2:9">
      <c r="D57" s="385" t="s">
        <v>1019</v>
      </c>
      <c r="E57" s="386" t="s">
        <v>1061</v>
      </c>
      <c r="F57" s="387" t="s">
        <v>1062</v>
      </c>
      <c r="G57" s="388">
        <v>45919</v>
      </c>
    </row>
    <row r="58" spans="2:9">
      <c r="D58" s="385" t="s">
        <v>1019</v>
      </c>
      <c r="E58" s="386" t="s">
        <v>1132</v>
      </c>
      <c r="F58" s="387" t="s">
        <v>1133</v>
      </c>
      <c r="G58" s="388">
        <v>45922</v>
      </c>
    </row>
    <row r="59" spans="2:9">
      <c r="D59" s="385" t="s">
        <v>1019</v>
      </c>
      <c r="E59" s="386" t="s">
        <v>1134</v>
      </c>
      <c r="F59" s="387" t="s">
        <v>1135</v>
      </c>
      <c r="G59" s="388">
        <v>45923</v>
      </c>
    </row>
    <row r="60" spans="2:9">
      <c r="D60" s="385" t="s">
        <v>1019</v>
      </c>
      <c r="E60" s="386" t="s">
        <v>1156</v>
      </c>
      <c r="F60" s="387" t="s">
        <v>1157</v>
      </c>
      <c r="G60" s="388">
        <v>45928</v>
      </c>
    </row>
    <row r="61" spans="2:9">
      <c r="D61" s="385" t="s">
        <v>1019</v>
      </c>
      <c r="E61" s="386" t="s">
        <v>1161</v>
      </c>
      <c r="F61" s="387" t="s">
        <v>1157</v>
      </c>
      <c r="G61" s="388">
        <v>45933</v>
      </c>
    </row>
    <row r="62" spans="2:9">
      <c r="D62" s="385" t="s">
        <v>1019</v>
      </c>
      <c r="E62" s="386" t="s">
        <v>886</v>
      </c>
      <c r="F62" s="387" t="s">
        <v>1371</v>
      </c>
      <c r="G62" s="388">
        <v>45943</v>
      </c>
    </row>
    <row r="63" spans="2:9">
      <c r="D63" s="385" t="s">
        <v>1019</v>
      </c>
      <c r="E63" s="386" t="s">
        <v>1409</v>
      </c>
      <c r="F63" s="387" t="s">
        <v>1410</v>
      </c>
      <c r="G63" s="388">
        <v>45958</v>
      </c>
    </row>
    <row r="64" spans="2:9" ht="40.5">
      <c r="D64" s="385" t="s">
        <v>1019</v>
      </c>
      <c r="E64" s="386" t="s">
        <v>1412</v>
      </c>
      <c r="F64" s="387" t="s">
        <v>1413</v>
      </c>
      <c r="G64" s="388">
        <v>45991</v>
      </c>
    </row>
  </sheetData>
  <mergeCells count="22">
    <mergeCell ref="D40:G40"/>
    <mergeCell ref="D32:E32"/>
    <mergeCell ref="D34:E34"/>
    <mergeCell ref="D20:E20"/>
    <mergeCell ref="F20:H20"/>
    <mergeCell ref="D21:E21"/>
    <mergeCell ref="F21:H21"/>
    <mergeCell ref="D30:E30"/>
    <mergeCell ref="D31:E31"/>
    <mergeCell ref="D33:E33"/>
    <mergeCell ref="A9:K9"/>
    <mergeCell ref="B12:I15"/>
    <mergeCell ref="D18:E18"/>
    <mergeCell ref="F18:H18"/>
    <mergeCell ref="D19:E19"/>
    <mergeCell ref="G19:H19"/>
    <mergeCell ref="A7:K7"/>
    <mergeCell ref="B3:E6"/>
    <mergeCell ref="F3:G5"/>
    <mergeCell ref="I3:J3"/>
    <mergeCell ref="I5:J5"/>
    <mergeCell ref="I6:J6"/>
  </mergeCells>
  <phoneticPr fontId="3" type="noConversion"/>
  <pageMargins left="0.7" right="0.7" top="0.75" bottom="0.75" header="0.3" footer="0.3"/>
  <pageSetup paperSize="9" scale="43" orientation="portrait" r:id="rId1"/>
  <headerFooter>
    <oddHeader>&amp;C&amp;G</oddHeader>
    <oddFooter>&amp;C&amp;1#&amp;"맑은 고딕"&amp;6&amp;K737373관 윤 / 1628679@mobis.co.kr / 본 문서는 현대모비스의 대외비 정보자산이므로 무단 전재 및 복제할 수 없으며, 위반 시 당사 사규 및 관련 법규에 의해 제재될 수 있습니다.</odd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9"/>
  </sheetPr>
  <dimension ref="A1:AJ116"/>
  <sheetViews>
    <sheetView zoomScale="115" zoomScaleNormal="115" zoomScaleSheetLayoutView="115" workbookViewId="0">
      <selection activeCell="Q19" sqref="Q19"/>
    </sheetView>
  </sheetViews>
  <sheetFormatPr defaultColWidth="9" defaultRowHeight="15"/>
  <cols>
    <col min="1" max="1" width="5.7109375" style="32" customWidth="1"/>
    <col min="2" max="6" width="9" style="32"/>
    <col min="7" max="7" width="11.140625" style="32" customWidth="1"/>
    <col min="8" max="8" width="12.7109375" style="32" customWidth="1"/>
    <col min="9" max="10" width="14.7109375" style="32" customWidth="1"/>
    <col min="11" max="11" width="10.28515625" style="32" customWidth="1"/>
    <col min="12" max="12" width="17" style="32" customWidth="1"/>
    <col min="13" max="13" width="14.28515625" style="32" customWidth="1"/>
    <col min="14" max="14" width="4.7109375" style="32" customWidth="1"/>
    <col min="15" max="15" width="9" style="32"/>
    <col min="16" max="16" width="11" style="32" customWidth="1"/>
    <col min="17" max="19" width="9" style="32"/>
    <col min="20" max="20" width="6.7109375" style="32" customWidth="1"/>
    <col min="21" max="21" width="7.7109375" style="32" customWidth="1"/>
    <col min="22" max="22" width="12.7109375" style="32" customWidth="1"/>
    <col min="23" max="23" width="12.7109375" style="32" bestFit="1" customWidth="1"/>
    <col min="24" max="24" width="11.7109375" style="32" customWidth="1"/>
    <col min="25" max="31" width="9" style="32"/>
    <col min="32" max="32" width="11.7109375" style="32" customWidth="1"/>
    <col min="33" max="16384" width="9" style="32"/>
  </cols>
  <sheetData>
    <row r="1" spans="1:14">
      <c r="A1" s="38"/>
      <c r="B1" s="38"/>
      <c r="C1" s="38"/>
      <c r="D1" s="38"/>
      <c r="E1" s="38"/>
      <c r="F1" s="38"/>
      <c r="G1" s="38"/>
      <c r="H1" s="38"/>
      <c r="I1" s="38"/>
      <c r="J1" s="43"/>
      <c r="K1" s="43"/>
      <c r="L1" s="166"/>
      <c r="M1" s="166"/>
      <c r="N1" s="60"/>
    </row>
    <row r="2" spans="1:14" ht="21">
      <c r="A2" s="38"/>
      <c r="B2" s="167"/>
      <c r="C2" s="38"/>
      <c r="D2" s="38"/>
      <c r="E2" s="38"/>
      <c r="F2" s="38"/>
      <c r="G2" s="38"/>
      <c r="H2" s="38"/>
      <c r="I2" s="87"/>
      <c r="J2" s="814" t="s">
        <v>6</v>
      </c>
      <c r="K2" s="815"/>
      <c r="L2" s="816" t="str">
        <f>Cover!$F$18</f>
        <v>ELM-803-FS-0001</v>
      </c>
      <c r="M2" s="817"/>
      <c r="N2" s="61"/>
    </row>
    <row r="3" spans="1:14" ht="15.75">
      <c r="A3" s="38"/>
      <c r="B3" s="38"/>
      <c r="C3" s="38"/>
      <c r="D3" s="38"/>
      <c r="E3" s="38"/>
      <c r="F3" s="38"/>
      <c r="G3" s="38"/>
      <c r="H3" s="38"/>
      <c r="I3" s="87"/>
      <c r="J3" s="818" t="s">
        <v>7</v>
      </c>
      <c r="K3" s="819"/>
      <c r="L3" s="15" t="str">
        <f>Cover!$F$19</f>
        <v>Safety Manager</v>
      </c>
      <c r="M3" s="40" t="str">
        <f>Cover!$G$19</f>
        <v>I. Kök</v>
      </c>
      <c r="N3" s="61"/>
    </row>
    <row r="4" spans="1:14" ht="15.75">
      <c r="A4" s="38"/>
      <c r="B4" s="38"/>
      <c r="C4" s="38"/>
      <c r="D4" s="38"/>
      <c r="E4" s="38"/>
      <c r="F4" s="38"/>
      <c r="G4" s="38"/>
      <c r="H4" s="38"/>
      <c r="I4" s="87"/>
      <c r="J4" s="818" t="s">
        <v>8</v>
      </c>
      <c r="K4" s="819"/>
      <c r="L4" s="762" t="str">
        <f>Cover!$F$20</f>
        <v>B2</v>
      </c>
      <c r="M4" s="763"/>
      <c r="N4" s="61"/>
    </row>
    <row r="5" spans="1:14" ht="15.75">
      <c r="A5" s="38"/>
      <c r="B5" s="38"/>
      <c r="C5" s="38"/>
      <c r="D5" s="38"/>
      <c r="E5" s="38"/>
      <c r="F5" s="38"/>
      <c r="G5" s="38"/>
      <c r="H5" s="38"/>
      <c r="I5" s="87"/>
      <c r="J5" s="805" t="s">
        <v>9</v>
      </c>
      <c r="K5" s="806"/>
      <c r="L5" s="807" t="str">
        <f>Cover!$F$21</f>
        <v>approved after review</v>
      </c>
      <c r="M5" s="808"/>
      <c r="N5" s="61"/>
    </row>
    <row r="6" spans="1:14" ht="15.75">
      <c r="A6" s="38"/>
      <c r="B6" s="38"/>
      <c r="C6" s="38"/>
      <c r="D6" s="38"/>
      <c r="E6" s="38"/>
      <c r="F6" s="38"/>
      <c r="G6" s="41"/>
      <c r="H6" s="42"/>
      <c r="I6" s="809"/>
      <c r="J6" s="809"/>
      <c r="K6" s="348"/>
      <c r="L6" s="62"/>
      <c r="M6" s="62"/>
      <c r="N6" s="61"/>
    </row>
    <row r="7" spans="1:14" ht="34.5" customHeight="1">
      <c r="A7" s="810" t="str">
        <f>Cover!A7</f>
        <v>FMEDA</v>
      </c>
      <c r="B7" s="811"/>
      <c r="C7" s="811"/>
      <c r="D7" s="811"/>
      <c r="E7" s="811"/>
      <c r="F7" s="811"/>
      <c r="G7" s="811"/>
      <c r="H7" s="811"/>
      <c r="I7" s="811"/>
      <c r="J7" s="811"/>
      <c r="K7" s="811"/>
      <c r="L7" s="811"/>
      <c r="M7" s="811"/>
      <c r="N7" s="811"/>
    </row>
    <row r="8" spans="1:14" ht="19.5" customHeight="1">
      <c r="A8" s="44"/>
      <c r="B8" s="44"/>
      <c r="C8" s="45"/>
      <c r="D8" s="45"/>
      <c r="E8" s="45"/>
      <c r="F8" s="46"/>
      <c r="G8" s="46"/>
      <c r="H8" s="46"/>
      <c r="I8" s="46"/>
      <c r="J8" s="46"/>
      <c r="K8" s="47"/>
      <c r="L8" s="43"/>
      <c r="M8" s="43"/>
      <c r="N8" s="119"/>
    </row>
    <row r="9" spans="1:14" ht="26.25">
      <c r="A9" s="766" t="str">
        <f>Cover!A9</f>
        <v>ID803 - Vega</v>
      </c>
      <c r="B9" s="812"/>
      <c r="C9" s="812"/>
      <c r="D9" s="812"/>
      <c r="E9" s="812"/>
      <c r="F9" s="812"/>
      <c r="G9" s="812"/>
      <c r="H9" s="812"/>
      <c r="I9" s="812"/>
      <c r="J9" s="812"/>
      <c r="K9" s="812"/>
      <c r="L9" s="812"/>
      <c r="M9" s="812"/>
      <c r="N9" s="813"/>
    </row>
    <row r="10" spans="1:14">
      <c r="B10" s="170"/>
      <c r="C10" s="170"/>
      <c r="D10" s="170"/>
      <c r="E10" s="170"/>
      <c r="F10" s="170"/>
      <c r="G10" s="170"/>
      <c r="H10" s="170"/>
      <c r="I10" s="170"/>
      <c r="J10" s="170"/>
      <c r="K10" s="170"/>
      <c r="L10" s="170"/>
      <c r="M10" s="170"/>
      <c r="N10" s="65"/>
    </row>
    <row r="11" spans="1:14" ht="25.35" customHeight="1">
      <c r="A11" s="41"/>
      <c r="B11" s="791" t="s">
        <v>41</v>
      </c>
      <c r="C11" s="778"/>
      <c r="D11" s="778"/>
      <c r="E11" s="778"/>
      <c r="F11" s="778"/>
      <c r="G11" s="778"/>
      <c r="H11" s="778"/>
      <c r="I11" s="778"/>
      <c r="J11" s="778"/>
      <c r="K11" s="778"/>
      <c r="L11" s="778"/>
      <c r="M11" s="792"/>
      <c r="N11" s="61"/>
    </row>
    <row r="12" spans="1:14">
      <c r="A12" s="41"/>
      <c r="B12" s="796"/>
      <c r="C12" s="797"/>
      <c r="D12" s="797"/>
      <c r="E12" s="797"/>
      <c r="F12" s="797"/>
      <c r="G12" s="797"/>
      <c r="H12" s="797"/>
      <c r="I12" s="797"/>
      <c r="J12" s="797"/>
      <c r="K12" s="62"/>
      <c r="L12" s="62"/>
      <c r="M12" s="185"/>
      <c r="N12" s="61"/>
    </row>
    <row r="13" spans="1:14">
      <c r="A13" s="41"/>
      <c r="B13" s="796"/>
      <c r="C13" s="797"/>
      <c r="D13" s="797"/>
      <c r="E13" s="797"/>
      <c r="F13" s="797"/>
      <c r="G13" s="797"/>
      <c r="H13" s="797"/>
      <c r="I13" s="797"/>
      <c r="J13" s="797"/>
      <c r="K13" s="38"/>
      <c r="L13" s="38"/>
      <c r="M13" s="175"/>
      <c r="N13" s="61"/>
    </row>
    <row r="14" spans="1:14">
      <c r="A14" s="41"/>
      <c r="B14" s="796"/>
      <c r="C14" s="797"/>
      <c r="D14" s="797"/>
      <c r="E14" s="797"/>
      <c r="F14" s="797"/>
      <c r="G14" s="797"/>
      <c r="H14" s="797"/>
      <c r="I14" s="797"/>
      <c r="J14" s="797"/>
      <c r="K14" s="38"/>
      <c r="L14" s="38"/>
      <c r="M14" s="175"/>
      <c r="N14" s="61"/>
    </row>
    <row r="15" spans="1:14">
      <c r="A15" s="41"/>
      <c r="B15" s="796"/>
      <c r="C15" s="797"/>
      <c r="D15" s="797"/>
      <c r="E15" s="797"/>
      <c r="F15" s="797"/>
      <c r="G15" s="797"/>
      <c r="H15" s="797"/>
      <c r="I15" s="797"/>
      <c r="J15" s="797"/>
      <c r="K15" s="38"/>
      <c r="L15" s="38"/>
      <c r="M15" s="175"/>
      <c r="N15" s="61"/>
    </row>
    <row r="16" spans="1:14">
      <c r="A16" s="41"/>
      <c r="B16" s="796"/>
      <c r="C16" s="797"/>
      <c r="D16" s="797"/>
      <c r="E16" s="797"/>
      <c r="F16" s="797"/>
      <c r="G16" s="797"/>
      <c r="H16" s="797"/>
      <c r="I16" s="797"/>
      <c r="J16" s="797"/>
      <c r="K16" s="38"/>
      <c r="L16" s="38"/>
      <c r="M16" s="175"/>
      <c r="N16" s="61"/>
    </row>
    <row r="17" spans="1:14">
      <c r="A17" s="41"/>
      <c r="B17" s="796"/>
      <c r="C17" s="797"/>
      <c r="D17" s="797"/>
      <c r="E17" s="797"/>
      <c r="F17" s="797"/>
      <c r="G17" s="797"/>
      <c r="H17" s="797"/>
      <c r="I17" s="797"/>
      <c r="J17" s="797"/>
      <c r="K17" s="38"/>
      <c r="L17" s="38"/>
      <c r="M17" s="175"/>
      <c r="N17" s="61"/>
    </row>
    <row r="18" spans="1:14">
      <c r="A18" s="41"/>
      <c r="B18" s="796"/>
      <c r="C18" s="797"/>
      <c r="D18" s="797"/>
      <c r="E18" s="797"/>
      <c r="F18" s="797"/>
      <c r="G18" s="797"/>
      <c r="H18" s="797"/>
      <c r="I18" s="797"/>
      <c r="J18" s="797"/>
      <c r="K18" s="38"/>
      <c r="L18" s="38"/>
      <c r="M18" s="175"/>
      <c r="N18" s="61"/>
    </row>
    <row r="19" spans="1:14">
      <c r="A19" s="41"/>
      <c r="B19" s="796"/>
      <c r="C19" s="797"/>
      <c r="D19" s="797"/>
      <c r="E19" s="797"/>
      <c r="F19" s="797"/>
      <c r="G19" s="797"/>
      <c r="H19" s="797"/>
      <c r="I19" s="797"/>
      <c r="J19" s="797"/>
      <c r="K19" s="38"/>
      <c r="L19" s="38"/>
      <c r="M19" s="175"/>
      <c r="N19" s="61"/>
    </row>
    <row r="20" spans="1:14">
      <c r="A20" s="41"/>
      <c r="B20" s="796"/>
      <c r="C20" s="797"/>
      <c r="D20" s="797"/>
      <c r="E20" s="797"/>
      <c r="F20" s="797"/>
      <c r="G20" s="797"/>
      <c r="H20" s="797"/>
      <c r="I20" s="797"/>
      <c r="J20" s="797"/>
      <c r="K20" s="38"/>
      <c r="L20" s="38"/>
      <c r="M20" s="175"/>
      <c r="N20" s="61"/>
    </row>
    <row r="21" spans="1:14">
      <c r="A21" s="41"/>
      <c r="B21" s="796"/>
      <c r="C21" s="797"/>
      <c r="D21" s="797"/>
      <c r="E21" s="797"/>
      <c r="F21" s="797"/>
      <c r="G21" s="797"/>
      <c r="H21" s="797"/>
      <c r="I21" s="797"/>
      <c r="J21" s="797"/>
      <c r="K21" s="38"/>
      <c r="L21" s="38"/>
      <c r="M21" s="175"/>
      <c r="N21" s="61"/>
    </row>
    <row r="22" spans="1:14">
      <c r="A22" s="41"/>
      <c r="B22" s="796"/>
      <c r="C22" s="797"/>
      <c r="D22" s="797"/>
      <c r="E22" s="797"/>
      <c r="F22" s="797"/>
      <c r="G22" s="797"/>
      <c r="H22" s="797"/>
      <c r="I22" s="797"/>
      <c r="J22" s="797"/>
      <c r="K22" s="38"/>
      <c r="L22" s="38"/>
      <c r="M22" s="175"/>
      <c r="N22" s="61"/>
    </row>
    <row r="23" spans="1:14">
      <c r="A23" s="41"/>
      <c r="B23" s="796"/>
      <c r="C23" s="797"/>
      <c r="D23" s="797"/>
      <c r="E23" s="797"/>
      <c r="F23" s="797"/>
      <c r="G23" s="797"/>
      <c r="H23" s="797"/>
      <c r="I23" s="797"/>
      <c r="J23" s="797"/>
      <c r="K23" s="38"/>
      <c r="L23" s="38"/>
      <c r="M23" s="175"/>
      <c r="N23" s="61"/>
    </row>
    <row r="24" spans="1:14">
      <c r="A24" s="41"/>
      <c r="B24" s="796"/>
      <c r="C24" s="797"/>
      <c r="D24" s="797"/>
      <c r="E24" s="797"/>
      <c r="F24" s="797"/>
      <c r="G24" s="797"/>
      <c r="H24" s="797"/>
      <c r="I24" s="797"/>
      <c r="J24" s="797"/>
      <c r="K24" s="38"/>
      <c r="L24" s="38"/>
      <c r="M24" s="175"/>
      <c r="N24" s="61"/>
    </row>
    <row r="25" spans="1:14">
      <c r="A25" s="41"/>
      <c r="B25" s="796"/>
      <c r="C25" s="797"/>
      <c r="D25" s="797"/>
      <c r="E25" s="797"/>
      <c r="F25" s="797"/>
      <c r="G25" s="797"/>
      <c r="H25" s="797"/>
      <c r="I25" s="797"/>
      <c r="J25" s="797"/>
      <c r="K25" s="38"/>
      <c r="L25" s="38"/>
      <c r="M25" s="175"/>
      <c r="N25" s="61"/>
    </row>
    <row r="26" spans="1:14">
      <c r="A26" s="41"/>
      <c r="B26" s="796"/>
      <c r="C26" s="797"/>
      <c r="D26" s="797"/>
      <c r="E26" s="797"/>
      <c r="F26" s="797"/>
      <c r="G26" s="797"/>
      <c r="H26" s="797"/>
      <c r="I26" s="797"/>
      <c r="J26" s="797"/>
      <c r="K26" s="38"/>
      <c r="L26" s="38"/>
      <c r="M26" s="175"/>
      <c r="N26" s="61"/>
    </row>
    <row r="27" spans="1:14">
      <c r="A27" s="41"/>
      <c r="B27" s="796"/>
      <c r="C27" s="797"/>
      <c r="D27" s="797"/>
      <c r="E27" s="797"/>
      <c r="F27" s="797"/>
      <c r="G27" s="797"/>
      <c r="H27" s="797"/>
      <c r="I27" s="797"/>
      <c r="J27" s="797"/>
      <c r="K27" s="38"/>
      <c r="L27" s="38"/>
      <c r="M27" s="175"/>
      <c r="N27" s="61"/>
    </row>
    <row r="28" spans="1:14">
      <c r="A28" s="41"/>
      <c r="B28" s="796"/>
      <c r="C28" s="797"/>
      <c r="D28" s="797"/>
      <c r="E28" s="797"/>
      <c r="F28" s="797"/>
      <c r="G28" s="797"/>
      <c r="H28" s="797"/>
      <c r="I28" s="797"/>
      <c r="J28" s="797"/>
      <c r="K28" s="38"/>
      <c r="L28" s="38"/>
      <c r="M28" s="175"/>
      <c r="N28" s="61"/>
    </row>
    <row r="29" spans="1:14">
      <c r="A29" s="41"/>
      <c r="B29" s="796"/>
      <c r="C29" s="797"/>
      <c r="D29" s="797"/>
      <c r="E29" s="797"/>
      <c r="F29" s="797"/>
      <c r="G29" s="797"/>
      <c r="H29" s="797"/>
      <c r="I29" s="797"/>
      <c r="J29" s="797"/>
      <c r="K29" s="38"/>
      <c r="L29" s="38"/>
      <c r="M29" s="175"/>
      <c r="N29" s="61"/>
    </row>
    <row r="30" spans="1:14">
      <c r="A30" s="41"/>
      <c r="B30" s="796"/>
      <c r="C30" s="797"/>
      <c r="D30" s="797"/>
      <c r="E30" s="797"/>
      <c r="F30" s="797"/>
      <c r="G30" s="797"/>
      <c r="H30" s="797"/>
      <c r="I30" s="797"/>
      <c r="J30" s="797"/>
      <c r="K30" s="38"/>
      <c r="L30" s="38"/>
      <c r="M30" s="175"/>
      <c r="N30" s="61"/>
    </row>
    <row r="31" spans="1:14">
      <c r="A31" s="41"/>
      <c r="B31" s="796"/>
      <c r="C31" s="797"/>
      <c r="D31" s="797"/>
      <c r="E31" s="797"/>
      <c r="F31" s="797"/>
      <c r="G31" s="797"/>
      <c r="H31" s="797"/>
      <c r="I31" s="797"/>
      <c r="J31" s="797"/>
      <c r="K31" s="38"/>
      <c r="L31" s="38"/>
      <c r="M31" s="175"/>
      <c r="N31" s="61"/>
    </row>
    <row r="32" spans="1:14">
      <c r="A32" s="41"/>
      <c r="B32" s="796"/>
      <c r="C32" s="797"/>
      <c r="D32" s="797"/>
      <c r="E32" s="797"/>
      <c r="F32" s="797"/>
      <c r="G32" s="797"/>
      <c r="H32" s="797"/>
      <c r="I32" s="797"/>
      <c r="J32" s="797"/>
      <c r="K32" s="38"/>
      <c r="L32" s="38"/>
      <c r="M32" s="175"/>
      <c r="N32" s="61"/>
    </row>
    <row r="33" spans="1:14">
      <c r="A33" s="41"/>
      <c r="B33" s="796"/>
      <c r="C33" s="797"/>
      <c r="D33" s="797"/>
      <c r="E33" s="797"/>
      <c r="F33" s="797"/>
      <c r="G33" s="797"/>
      <c r="H33" s="797"/>
      <c r="I33" s="797"/>
      <c r="J33" s="797"/>
      <c r="K33" s="38"/>
      <c r="L33" s="38"/>
      <c r="M33" s="175"/>
      <c r="N33" s="61"/>
    </row>
    <row r="34" spans="1:14">
      <c r="A34" s="41"/>
      <c r="B34" s="796"/>
      <c r="C34" s="797"/>
      <c r="D34" s="797"/>
      <c r="E34" s="797"/>
      <c r="F34" s="797"/>
      <c r="G34" s="797"/>
      <c r="H34" s="797"/>
      <c r="I34" s="797"/>
      <c r="J34" s="797"/>
      <c r="K34" s="38"/>
      <c r="L34" s="38"/>
      <c r="M34" s="175"/>
      <c r="N34" s="61"/>
    </row>
    <row r="35" spans="1:14">
      <c r="A35" s="41"/>
      <c r="B35" s="796"/>
      <c r="C35" s="797"/>
      <c r="D35" s="797"/>
      <c r="E35" s="797"/>
      <c r="F35" s="797"/>
      <c r="G35" s="797"/>
      <c r="H35" s="797"/>
      <c r="I35" s="797"/>
      <c r="J35" s="797"/>
      <c r="K35" s="38"/>
      <c r="L35" s="38"/>
      <c r="M35" s="175"/>
      <c r="N35" s="61"/>
    </row>
    <row r="36" spans="1:14">
      <c r="A36" s="41"/>
      <c r="B36" s="796"/>
      <c r="C36" s="797"/>
      <c r="D36" s="797"/>
      <c r="E36" s="797"/>
      <c r="F36" s="797"/>
      <c r="G36" s="797"/>
      <c r="H36" s="797"/>
      <c r="I36" s="797"/>
      <c r="J36" s="797"/>
      <c r="K36" s="38"/>
      <c r="L36" s="38"/>
      <c r="M36" s="175"/>
      <c r="N36" s="61"/>
    </row>
    <row r="37" spans="1:14">
      <c r="A37" s="41"/>
      <c r="B37" s="796"/>
      <c r="C37" s="797"/>
      <c r="D37" s="797"/>
      <c r="E37" s="797"/>
      <c r="F37" s="797"/>
      <c r="G37" s="797"/>
      <c r="H37" s="797"/>
      <c r="I37" s="797"/>
      <c r="J37" s="797"/>
      <c r="K37" s="38"/>
      <c r="L37" s="38"/>
      <c r="M37" s="175"/>
      <c r="N37" s="61"/>
    </row>
    <row r="38" spans="1:14">
      <c r="A38" s="41"/>
      <c r="B38" s="796"/>
      <c r="C38" s="797"/>
      <c r="D38" s="797"/>
      <c r="E38" s="797"/>
      <c r="F38" s="797"/>
      <c r="G38" s="797"/>
      <c r="H38" s="797"/>
      <c r="I38" s="797"/>
      <c r="J38" s="797"/>
      <c r="K38" s="38"/>
      <c r="L38" s="38"/>
      <c r="M38" s="175"/>
      <c r="N38" s="61"/>
    </row>
    <row r="39" spans="1:14">
      <c r="A39" s="41"/>
      <c r="B39" s="796"/>
      <c r="C39" s="797"/>
      <c r="D39" s="797"/>
      <c r="E39" s="797"/>
      <c r="F39" s="797"/>
      <c r="G39" s="797"/>
      <c r="H39" s="797"/>
      <c r="I39" s="797"/>
      <c r="J39" s="797"/>
      <c r="K39" s="38"/>
      <c r="L39" s="38"/>
      <c r="M39" s="175"/>
      <c r="N39" s="61"/>
    </row>
    <row r="40" spans="1:14">
      <c r="A40" s="41"/>
      <c r="B40" s="796"/>
      <c r="C40" s="797"/>
      <c r="D40" s="797"/>
      <c r="E40" s="797"/>
      <c r="F40" s="797"/>
      <c r="G40" s="797"/>
      <c r="H40" s="797"/>
      <c r="I40" s="797"/>
      <c r="J40" s="797"/>
      <c r="K40" s="38"/>
      <c r="L40" s="38"/>
      <c r="M40" s="175"/>
      <c r="N40" s="61"/>
    </row>
    <row r="41" spans="1:14">
      <c r="A41" s="41"/>
      <c r="B41" s="796"/>
      <c r="C41" s="797"/>
      <c r="D41" s="797"/>
      <c r="E41" s="797"/>
      <c r="F41" s="797"/>
      <c r="G41" s="797"/>
      <c r="H41" s="797"/>
      <c r="I41" s="797"/>
      <c r="J41" s="797"/>
      <c r="K41" s="38"/>
      <c r="L41" s="38"/>
      <c r="M41" s="175"/>
      <c r="N41" s="61"/>
    </row>
    <row r="42" spans="1:14">
      <c r="A42" s="41"/>
      <c r="B42" s="796"/>
      <c r="C42" s="797"/>
      <c r="D42" s="797"/>
      <c r="E42" s="797"/>
      <c r="F42" s="797"/>
      <c r="G42" s="797"/>
      <c r="H42" s="797"/>
      <c r="I42" s="797"/>
      <c r="J42" s="797"/>
      <c r="K42" s="38"/>
      <c r="L42" s="38"/>
      <c r="M42" s="175"/>
      <c r="N42" s="61"/>
    </row>
    <row r="43" spans="1:14">
      <c r="A43" s="41"/>
      <c r="B43" s="796"/>
      <c r="C43" s="797"/>
      <c r="D43" s="797"/>
      <c r="E43" s="797"/>
      <c r="F43" s="797"/>
      <c r="G43" s="797"/>
      <c r="H43" s="797"/>
      <c r="I43" s="797"/>
      <c r="J43" s="797"/>
      <c r="K43" s="38"/>
      <c r="L43" s="38"/>
      <c r="M43" s="175"/>
      <c r="N43" s="61"/>
    </row>
    <row r="44" spans="1:14">
      <c r="A44" s="41"/>
      <c r="B44" s="796"/>
      <c r="C44" s="797"/>
      <c r="D44" s="797"/>
      <c r="E44" s="797"/>
      <c r="F44" s="797"/>
      <c r="G44" s="797"/>
      <c r="H44" s="797"/>
      <c r="I44" s="797"/>
      <c r="J44" s="797"/>
      <c r="K44" s="38"/>
      <c r="L44" s="38"/>
      <c r="M44" s="175"/>
      <c r="N44" s="61"/>
    </row>
    <row r="45" spans="1:14">
      <c r="A45" s="41"/>
      <c r="B45" s="796"/>
      <c r="C45" s="797"/>
      <c r="D45" s="797"/>
      <c r="E45" s="797"/>
      <c r="F45" s="797"/>
      <c r="G45" s="797"/>
      <c r="H45" s="797"/>
      <c r="I45" s="797"/>
      <c r="J45" s="797"/>
      <c r="K45" s="38"/>
      <c r="L45" s="38"/>
      <c r="M45" s="175"/>
      <c r="N45" s="61"/>
    </row>
    <row r="46" spans="1:14">
      <c r="A46" s="41"/>
      <c r="B46" s="796"/>
      <c r="C46" s="797"/>
      <c r="D46" s="797"/>
      <c r="E46" s="797"/>
      <c r="F46" s="797"/>
      <c r="G46" s="797"/>
      <c r="H46" s="797"/>
      <c r="I46" s="797"/>
      <c r="J46" s="797"/>
      <c r="K46" s="38"/>
      <c r="L46" s="38"/>
      <c r="M46" s="175"/>
      <c r="N46" s="61"/>
    </row>
    <row r="47" spans="1:14">
      <c r="A47" s="41"/>
      <c r="B47" s="796"/>
      <c r="C47" s="797"/>
      <c r="D47" s="797"/>
      <c r="E47" s="797"/>
      <c r="F47" s="797"/>
      <c r="G47" s="797"/>
      <c r="H47" s="797"/>
      <c r="I47" s="797"/>
      <c r="J47" s="797"/>
      <c r="K47" s="38"/>
      <c r="L47" s="38"/>
      <c r="M47" s="175"/>
      <c r="N47" s="61"/>
    </row>
    <row r="48" spans="1:14">
      <c r="A48" s="41"/>
      <c r="B48" s="796"/>
      <c r="C48" s="797"/>
      <c r="D48" s="797"/>
      <c r="E48" s="797"/>
      <c r="F48" s="797"/>
      <c r="G48" s="797"/>
      <c r="H48" s="797"/>
      <c r="I48" s="797"/>
      <c r="J48" s="797"/>
      <c r="K48" s="38"/>
      <c r="L48" s="38"/>
      <c r="M48" s="175"/>
      <c r="N48" s="61"/>
    </row>
    <row r="49" spans="1:21" ht="63" customHeight="1">
      <c r="A49" s="41"/>
      <c r="B49" s="796"/>
      <c r="C49" s="797"/>
      <c r="D49" s="797"/>
      <c r="E49" s="797"/>
      <c r="F49" s="797"/>
      <c r="G49" s="797"/>
      <c r="H49" s="797"/>
      <c r="I49" s="797"/>
      <c r="J49" s="797"/>
      <c r="K49" s="43"/>
      <c r="L49" s="43"/>
      <c r="M49" s="187"/>
      <c r="N49" s="61"/>
    </row>
    <row r="50" spans="1:21" ht="25.35" customHeight="1">
      <c r="A50" s="41"/>
      <c r="B50" s="791" t="s">
        <v>42</v>
      </c>
      <c r="C50" s="778"/>
      <c r="D50" s="778"/>
      <c r="E50" s="778"/>
      <c r="F50" s="778"/>
      <c r="G50" s="778"/>
      <c r="H50" s="778"/>
      <c r="I50" s="778"/>
      <c r="J50" s="778"/>
      <c r="K50" s="778"/>
      <c r="L50" s="778"/>
      <c r="M50" s="792"/>
      <c r="N50" s="61"/>
    </row>
    <row r="51" spans="1:21">
      <c r="A51" s="41"/>
      <c r="B51" s="796"/>
      <c r="C51" s="797"/>
      <c r="D51" s="797"/>
      <c r="E51" s="797"/>
      <c r="F51" s="797"/>
      <c r="G51" s="797"/>
      <c r="H51" s="797"/>
      <c r="I51" s="797"/>
      <c r="J51" s="797"/>
      <c r="K51" s="62"/>
      <c r="L51" s="62"/>
      <c r="M51" s="185"/>
      <c r="N51" s="61"/>
      <c r="T51" s="349"/>
    </row>
    <row r="52" spans="1:21">
      <c r="A52" s="41"/>
      <c r="B52" s="796"/>
      <c r="C52" s="797"/>
      <c r="D52" s="797"/>
      <c r="E52" s="797"/>
      <c r="F52" s="797"/>
      <c r="G52" s="797"/>
      <c r="H52" s="797"/>
      <c r="I52" s="797"/>
      <c r="J52" s="797"/>
      <c r="K52" s="38"/>
      <c r="L52" s="38"/>
      <c r="M52" s="175"/>
      <c r="N52" s="61"/>
    </row>
    <row r="53" spans="1:21">
      <c r="A53" s="41"/>
      <c r="B53" s="796"/>
      <c r="C53" s="797"/>
      <c r="D53" s="797"/>
      <c r="E53" s="797"/>
      <c r="F53" s="797"/>
      <c r="G53" s="797"/>
      <c r="H53" s="797"/>
      <c r="I53" s="797"/>
      <c r="J53" s="797"/>
      <c r="K53" s="38"/>
      <c r="L53" s="38"/>
      <c r="M53" s="175"/>
      <c r="N53" s="61"/>
      <c r="S53" s="182"/>
      <c r="T53" s="182"/>
      <c r="U53" s="182"/>
    </row>
    <row r="54" spans="1:21">
      <c r="A54" s="41"/>
      <c r="B54" s="796"/>
      <c r="C54" s="797"/>
      <c r="D54" s="797"/>
      <c r="E54" s="797"/>
      <c r="F54" s="797"/>
      <c r="G54" s="797"/>
      <c r="H54" s="797"/>
      <c r="I54" s="797"/>
      <c r="J54" s="797"/>
      <c r="K54" s="38"/>
      <c r="L54" s="38"/>
      <c r="M54" s="175"/>
      <c r="N54" s="61"/>
      <c r="S54" s="182"/>
      <c r="T54" s="182"/>
      <c r="U54" s="182"/>
    </row>
    <row r="55" spans="1:21">
      <c r="A55" s="41"/>
      <c r="B55" s="796"/>
      <c r="C55" s="797"/>
      <c r="D55" s="797"/>
      <c r="E55" s="797"/>
      <c r="F55" s="797"/>
      <c r="G55" s="797"/>
      <c r="H55" s="797"/>
      <c r="I55" s="797"/>
      <c r="J55" s="797"/>
      <c r="K55" s="38"/>
      <c r="L55" s="38"/>
      <c r="M55" s="175"/>
      <c r="N55" s="61"/>
      <c r="S55" s="182"/>
      <c r="T55" s="182"/>
      <c r="U55" s="182"/>
    </row>
    <row r="56" spans="1:21" ht="15" customHeight="1">
      <c r="A56" s="41"/>
      <c r="B56" s="796"/>
      <c r="C56" s="797"/>
      <c r="D56" s="797"/>
      <c r="E56" s="797"/>
      <c r="F56" s="797"/>
      <c r="G56" s="797"/>
      <c r="H56" s="797"/>
      <c r="I56" s="797"/>
      <c r="J56" s="797"/>
      <c r="K56" s="38"/>
      <c r="L56" s="38"/>
      <c r="M56" s="175"/>
      <c r="N56" s="61"/>
      <c r="S56" s="182"/>
      <c r="T56" s="182"/>
      <c r="U56" s="350"/>
    </row>
    <row r="57" spans="1:21">
      <c r="A57" s="41"/>
      <c r="B57" s="796"/>
      <c r="C57" s="797"/>
      <c r="D57" s="797"/>
      <c r="E57" s="797"/>
      <c r="F57" s="797"/>
      <c r="G57" s="797"/>
      <c r="H57" s="797"/>
      <c r="I57" s="797"/>
      <c r="J57" s="797"/>
      <c r="K57" s="38"/>
      <c r="L57" s="38"/>
      <c r="M57" s="175"/>
      <c r="N57" s="61"/>
      <c r="S57" s="182"/>
      <c r="T57" s="182"/>
      <c r="U57" s="350"/>
    </row>
    <row r="58" spans="1:21" ht="16.5" customHeight="1">
      <c r="A58" s="41"/>
      <c r="B58" s="796"/>
      <c r="C58" s="797"/>
      <c r="D58" s="797"/>
      <c r="E58" s="797"/>
      <c r="F58" s="797"/>
      <c r="G58" s="797"/>
      <c r="H58" s="797"/>
      <c r="I58" s="797"/>
      <c r="J58" s="797"/>
      <c r="K58" s="38"/>
      <c r="L58" s="38"/>
      <c r="M58" s="175"/>
      <c r="N58" s="61"/>
      <c r="S58" s="182"/>
      <c r="T58" s="182"/>
      <c r="U58" s="182"/>
    </row>
    <row r="59" spans="1:21" ht="15.75" customHeight="1">
      <c r="A59" s="41"/>
      <c r="B59" s="796"/>
      <c r="C59" s="797"/>
      <c r="D59" s="797"/>
      <c r="E59" s="797"/>
      <c r="F59" s="797"/>
      <c r="G59" s="797"/>
      <c r="H59" s="797"/>
      <c r="I59" s="797"/>
      <c r="J59" s="797"/>
      <c r="K59" s="38"/>
      <c r="L59" s="38"/>
      <c r="M59" s="175"/>
      <c r="N59" s="61"/>
      <c r="S59" s="182"/>
      <c r="T59" s="182"/>
      <c r="U59" s="350"/>
    </row>
    <row r="60" spans="1:21">
      <c r="A60" s="41"/>
      <c r="B60" s="796"/>
      <c r="C60" s="797"/>
      <c r="D60" s="797"/>
      <c r="E60" s="797"/>
      <c r="F60" s="797"/>
      <c r="G60" s="797"/>
      <c r="H60" s="797"/>
      <c r="I60" s="797"/>
      <c r="J60" s="797"/>
      <c r="K60" s="38"/>
      <c r="L60" s="38"/>
      <c r="M60" s="175"/>
      <c r="N60" s="61"/>
      <c r="S60" s="182"/>
      <c r="T60" s="182"/>
      <c r="U60" s="182"/>
    </row>
    <row r="61" spans="1:21" ht="15" customHeight="1">
      <c r="A61" s="41"/>
      <c r="B61" s="796"/>
      <c r="C61" s="797"/>
      <c r="D61" s="797"/>
      <c r="E61" s="797"/>
      <c r="F61" s="797"/>
      <c r="G61" s="797"/>
      <c r="H61" s="797"/>
      <c r="I61" s="797"/>
      <c r="J61" s="797"/>
      <c r="K61" s="38"/>
      <c r="L61" s="38"/>
      <c r="M61" s="175"/>
      <c r="N61" s="61"/>
      <c r="S61" s="182"/>
      <c r="T61" s="182"/>
      <c r="U61" s="350"/>
    </row>
    <row r="62" spans="1:21">
      <c r="A62" s="41"/>
      <c r="B62" s="796"/>
      <c r="C62" s="797"/>
      <c r="D62" s="797"/>
      <c r="E62" s="797"/>
      <c r="F62" s="797"/>
      <c r="G62" s="797"/>
      <c r="H62" s="797"/>
      <c r="I62" s="797"/>
      <c r="J62" s="797"/>
      <c r="K62" s="38"/>
      <c r="L62" s="38"/>
      <c r="M62" s="175"/>
      <c r="N62" s="61"/>
      <c r="S62" s="182"/>
      <c r="T62" s="182"/>
      <c r="U62" s="182"/>
    </row>
    <row r="63" spans="1:21" ht="18.75" customHeight="1">
      <c r="A63" s="41"/>
      <c r="B63" s="796"/>
      <c r="C63" s="797"/>
      <c r="D63" s="797"/>
      <c r="E63" s="797"/>
      <c r="F63" s="797"/>
      <c r="G63" s="797"/>
      <c r="H63" s="797"/>
      <c r="I63" s="797"/>
      <c r="J63" s="797"/>
      <c r="K63" s="38"/>
      <c r="L63" s="38"/>
      <c r="M63" s="175"/>
      <c r="N63" s="61"/>
      <c r="S63" s="182"/>
      <c r="T63" s="182"/>
      <c r="U63" s="350"/>
    </row>
    <row r="64" spans="1:21">
      <c r="A64" s="41"/>
      <c r="B64" s="796"/>
      <c r="C64" s="797"/>
      <c r="D64" s="797"/>
      <c r="E64" s="797"/>
      <c r="F64" s="797"/>
      <c r="G64" s="797"/>
      <c r="H64" s="797"/>
      <c r="I64" s="797"/>
      <c r="J64" s="797"/>
      <c r="K64" s="38"/>
      <c r="L64" s="38"/>
      <c r="M64" s="175"/>
      <c r="N64" s="61"/>
      <c r="S64" s="182"/>
      <c r="T64" s="182"/>
      <c r="U64" s="350"/>
    </row>
    <row r="65" spans="1:21">
      <c r="A65" s="41"/>
      <c r="B65" s="796"/>
      <c r="C65" s="797"/>
      <c r="D65" s="797"/>
      <c r="E65" s="797"/>
      <c r="F65" s="797"/>
      <c r="G65" s="797"/>
      <c r="H65" s="797"/>
      <c r="I65" s="797"/>
      <c r="J65" s="797"/>
      <c r="K65" s="38"/>
      <c r="L65" s="38"/>
      <c r="M65" s="175"/>
      <c r="N65" s="61"/>
      <c r="S65" s="182"/>
      <c r="T65" s="182"/>
      <c r="U65" s="350"/>
    </row>
    <row r="66" spans="1:21">
      <c r="A66" s="41"/>
      <c r="B66" s="796"/>
      <c r="C66" s="797"/>
      <c r="D66" s="797"/>
      <c r="E66" s="797"/>
      <c r="F66" s="797"/>
      <c r="G66" s="797"/>
      <c r="H66" s="797"/>
      <c r="I66" s="797"/>
      <c r="J66" s="797"/>
      <c r="K66" s="38"/>
      <c r="L66" s="38"/>
      <c r="M66" s="175"/>
      <c r="N66" s="61"/>
      <c r="S66" s="182"/>
      <c r="T66" s="182"/>
      <c r="U66" s="350"/>
    </row>
    <row r="67" spans="1:21">
      <c r="A67" s="41"/>
      <c r="B67" s="796"/>
      <c r="C67" s="797"/>
      <c r="D67" s="797"/>
      <c r="E67" s="797"/>
      <c r="F67" s="797"/>
      <c r="G67" s="797"/>
      <c r="H67" s="797"/>
      <c r="I67" s="797"/>
      <c r="J67" s="797"/>
      <c r="K67" s="38"/>
      <c r="L67" s="38"/>
      <c r="M67" s="175"/>
      <c r="N67" s="61"/>
      <c r="S67" s="182"/>
      <c r="T67" s="182"/>
      <c r="U67" s="350"/>
    </row>
    <row r="68" spans="1:21">
      <c r="A68" s="41"/>
      <c r="B68" s="796"/>
      <c r="C68" s="797"/>
      <c r="D68" s="797"/>
      <c r="E68" s="797"/>
      <c r="F68" s="797"/>
      <c r="G68" s="797"/>
      <c r="H68" s="797"/>
      <c r="I68" s="797"/>
      <c r="J68" s="797"/>
      <c r="K68" s="38"/>
      <c r="L68" s="38"/>
      <c r="M68" s="175"/>
      <c r="N68" s="61"/>
      <c r="S68" s="182"/>
      <c r="T68" s="182"/>
      <c r="U68" s="350"/>
    </row>
    <row r="69" spans="1:21" ht="19.5" customHeight="1">
      <c r="A69" s="41"/>
      <c r="B69" s="796"/>
      <c r="C69" s="797"/>
      <c r="D69" s="797"/>
      <c r="E69" s="797"/>
      <c r="F69" s="797"/>
      <c r="G69" s="797"/>
      <c r="H69" s="797"/>
      <c r="I69" s="797"/>
      <c r="J69" s="797"/>
      <c r="K69" s="38"/>
      <c r="L69" s="38"/>
      <c r="M69" s="175"/>
      <c r="N69" s="61"/>
      <c r="S69" s="182"/>
      <c r="T69" s="182"/>
      <c r="U69" s="350"/>
    </row>
    <row r="70" spans="1:21">
      <c r="A70" s="41"/>
      <c r="B70" s="796"/>
      <c r="C70" s="797"/>
      <c r="D70" s="797"/>
      <c r="E70" s="797"/>
      <c r="F70" s="797"/>
      <c r="G70" s="797"/>
      <c r="H70" s="797"/>
      <c r="I70" s="797"/>
      <c r="J70" s="797"/>
      <c r="K70" s="38"/>
      <c r="L70" s="38"/>
      <c r="M70" s="175"/>
      <c r="N70" s="61"/>
      <c r="S70" s="182"/>
      <c r="T70" s="182"/>
      <c r="U70" s="350"/>
    </row>
    <row r="71" spans="1:21">
      <c r="A71" s="41"/>
      <c r="B71" s="796"/>
      <c r="C71" s="797"/>
      <c r="D71" s="797"/>
      <c r="E71" s="797"/>
      <c r="F71" s="797"/>
      <c r="G71" s="797"/>
      <c r="H71" s="797"/>
      <c r="I71" s="797"/>
      <c r="J71" s="797"/>
      <c r="K71" s="38"/>
      <c r="L71" s="38"/>
      <c r="M71" s="175"/>
      <c r="N71" s="61"/>
      <c r="S71" s="182"/>
      <c r="T71" s="182"/>
      <c r="U71" s="350"/>
    </row>
    <row r="72" spans="1:21">
      <c r="A72" s="41"/>
      <c r="B72" s="796"/>
      <c r="C72" s="797"/>
      <c r="D72" s="797"/>
      <c r="E72" s="797"/>
      <c r="F72" s="797"/>
      <c r="G72" s="797"/>
      <c r="H72" s="797"/>
      <c r="I72" s="797"/>
      <c r="J72" s="797"/>
      <c r="K72" s="38"/>
      <c r="L72" s="38"/>
      <c r="M72" s="175"/>
      <c r="N72" s="61"/>
      <c r="S72" s="182"/>
      <c r="T72" s="182"/>
      <c r="U72" s="182"/>
    </row>
    <row r="73" spans="1:21" ht="15" customHeight="1">
      <c r="A73" s="41"/>
      <c r="B73" s="796"/>
      <c r="C73" s="797"/>
      <c r="D73" s="797"/>
      <c r="E73" s="797"/>
      <c r="F73" s="797"/>
      <c r="G73" s="797"/>
      <c r="H73" s="797"/>
      <c r="I73" s="797"/>
      <c r="J73" s="797"/>
      <c r="K73" s="38"/>
      <c r="L73" s="38"/>
      <c r="M73" s="175"/>
      <c r="N73" s="61"/>
      <c r="S73" s="182"/>
      <c r="T73" s="182"/>
      <c r="U73" s="350"/>
    </row>
    <row r="74" spans="1:21" ht="15.75" customHeight="1">
      <c r="A74" s="41"/>
      <c r="B74" s="796"/>
      <c r="C74" s="797"/>
      <c r="D74" s="797"/>
      <c r="E74" s="797"/>
      <c r="F74" s="797"/>
      <c r="G74" s="797"/>
      <c r="H74" s="797"/>
      <c r="I74" s="797"/>
      <c r="J74" s="797"/>
      <c r="K74" s="38"/>
      <c r="L74" s="38"/>
      <c r="M74" s="175"/>
      <c r="N74" s="61"/>
      <c r="S74" s="182"/>
      <c r="T74" s="182"/>
      <c r="U74" s="182"/>
    </row>
    <row r="75" spans="1:21">
      <c r="A75" s="41"/>
      <c r="B75" s="796"/>
      <c r="C75" s="797"/>
      <c r="D75" s="797"/>
      <c r="E75" s="797"/>
      <c r="F75" s="797"/>
      <c r="G75" s="797"/>
      <c r="H75" s="797"/>
      <c r="I75" s="797"/>
      <c r="J75" s="797"/>
      <c r="K75" s="38"/>
      <c r="L75" s="38"/>
      <c r="M75" s="175"/>
      <c r="N75" s="61"/>
      <c r="S75" s="182"/>
      <c r="T75" s="182"/>
      <c r="U75" s="350"/>
    </row>
    <row r="76" spans="1:21">
      <c r="A76" s="41"/>
      <c r="B76" s="796"/>
      <c r="C76" s="797"/>
      <c r="D76" s="797"/>
      <c r="E76" s="797"/>
      <c r="F76" s="797"/>
      <c r="G76" s="797"/>
      <c r="H76" s="797"/>
      <c r="I76" s="797"/>
      <c r="J76" s="797"/>
      <c r="K76" s="38"/>
      <c r="L76" s="38"/>
      <c r="M76" s="175"/>
      <c r="N76" s="61"/>
      <c r="Q76" s="181"/>
      <c r="S76" s="182"/>
      <c r="T76" s="182"/>
      <c r="U76" s="182"/>
    </row>
    <row r="77" spans="1:21">
      <c r="A77" s="41"/>
      <c r="B77" s="796"/>
      <c r="C77" s="797"/>
      <c r="D77" s="797"/>
      <c r="E77" s="797"/>
      <c r="F77" s="797"/>
      <c r="G77" s="797"/>
      <c r="H77" s="797"/>
      <c r="I77" s="797"/>
      <c r="J77" s="797"/>
      <c r="K77" s="38"/>
      <c r="L77" s="38"/>
      <c r="M77" s="175"/>
      <c r="N77" s="61"/>
      <c r="Q77" s="181"/>
      <c r="S77" s="182"/>
      <c r="T77" s="182"/>
      <c r="U77" s="350"/>
    </row>
    <row r="78" spans="1:21" ht="15.75" customHeight="1">
      <c r="A78" s="41"/>
      <c r="B78" s="796"/>
      <c r="C78" s="797"/>
      <c r="D78" s="797"/>
      <c r="E78" s="797"/>
      <c r="F78" s="797"/>
      <c r="G78" s="797"/>
      <c r="H78" s="797"/>
      <c r="I78" s="797"/>
      <c r="J78" s="797"/>
      <c r="K78" s="38"/>
      <c r="L78" s="38"/>
      <c r="M78" s="175"/>
      <c r="N78" s="61"/>
      <c r="S78" s="182"/>
      <c r="T78" s="182"/>
      <c r="U78" s="182"/>
    </row>
    <row r="79" spans="1:21" ht="15.75" customHeight="1">
      <c r="A79" s="41"/>
      <c r="B79" s="796"/>
      <c r="C79" s="797"/>
      <c r="D79" s="797"/>
      <c r="E79" s="797"/>
      <c r="F79" s="797"/>
      <c r="G79" s="797"/>
      <c r="H79" s="797"/>
      <c r="I79" s="797"/>
      <c r="J79" s="797"/>
      <c r="K79" s="38"/>
      <c r="L79" s="38"/>
      <c r="M79" s="175"/>
      <c r="N79" s="61"/>
      <c r="S79" s="182"/>
      <c r="T79" s="182"/>
      <c r="U79" s="350"/>
    </row>
    <row r="80" spans="1:21">
      <c r="A80" s="41"/>
      <c r="B80" s="796"/>
      <c r="C80" s="797"/>
      <c r="D80" s="797"/>
      <c r="E80" s="797"/>
      <c r="F80" s="797"/>
      <c r="G80" s="797"/>
      <c r="H80" s="797"/>
      <c r="I80" s="797"/>
      <c r="J80" s="797"/>
      <c r="K80" s="38"/>
      <c r="L80" s="38"/>
      <c r="M80" s="175"/>
      <c r="N80" s="61"/>
      <c r="S80" s="182"/>
      <c r="T80" s="182"/>
      <c r="U80" s="182"/>
    </row>
    <row r="81" spans="1:36" ht="15.75" customHeight="1">
      <c r="A81" s="41"/>
      <c r="B81" s="796"/>
      <c r="C81" s="797"/>
      <c r="D81" s="797"/>
      <c r="E81" s="797"/>
      <c r="F81" s="797"/>
      <c r="G81" s="797"/>
      <c r="H81" s="797"/>
      <c r="I81" s="797"/>
      <c r="J81" s="797"/>
      <c r="K81" s="38"/>
      <c r="L81" s="38"/>
      <c r="M81" s="175"/>
      <c r="N81" s="61"/>
      <c r="S81" s="182"/>
      <c r="T81" s="182"/>
      <c r="U81" s="350"/>
    </row>
    <row r="82" spans="1:36">
      <c r="A82" s="41"/>
      <c r="B82" s="796"/>
      <c r="C82" s="797"/>
      <c r="D82" s="797"/>
      <c r="E82" s="797"/>
      <c r="F82" s="797"/>
      <c r="G82" s="797"/>
      <c r="H82" s="797"/>
      <c r="I82" s="797"/>
      <c r="J82" s="797"/>
      <c r="K82" s="38"/>
      <c r="L82" s="38"/>
      <c r="M82" s="175"/>
      <c r="N82" s="61"/>
      <c r="S82" s="182"/>
      <c r="T82" s="182"/>
      <c r="U82" s="182"/>
    </row>
    <row r="83" spans="1:36" ht="15.75" customHeight="1">
      <c r="A83" s="41"/>
      <c r="B83" s="796"/>
      <c r="C83" s="797"/>
      <c r="D83" s="797"/>
      <c r="E83" s="797"/>
      <c r="F83" s="797"/>
      <c r="G83" s="797"/>
      <c r="H83" s="797"/>
      <c r="I83" s="797"/>
      <c r="J83" s="797"/>
      <c r="K83" s="38"/>
      <c r="L83" s="38"/>
      <c r="M83" s="175"/>
      <c r="N83" s="61"/>
      <c r="Q83" s="181"/>
      <c r="S83" s="182"/>
      <c r="T83" s="182"/>
      <c r="U83" s="350"/>
    </row>
    <row r="84" spans="1:36">
      <c r="A84" s="41"/>
      <c r="B84" s="796"/>
      <c r="C84" s="797"/>
      <c r="D84" s="797"/>
      <c r="E84" s="797"/>
      <c r="F84" s="797"/>
      <c r="G84" s="797"/>
      <c r="H84" s="797"/>
      <c r="I84" s="797"/>
      <c r="J84" s="797"/>
      <c r="K84" s="38"/>
      <c r="L84" s="38"/>
      <c r="M84" s="175"/>
      <c r="N84" s="61"/>
      <c r="S84" s="182"/>
      <c r="T84" s="182"/>
      <c r="U84" s="182"/>
    </row>
    <row r="85" spans="1:36" ht="16.5" customHeight="1">
      <c r="A85" s="41"/>
      <c r="B85" s="796"/>
      <c r="C85" s="797"/>
      <c r="D85" s="797"/>
      <c r="E85" s="797"/>
      <c r="F85" s="797"/>
      <c r="G85" s="797"/>
      <c r="H85" s="797"/>
      <c r="I85" s="797"/>
      <c r="J85" s="797"/>
      <c r="K85" s="38"/>
      <c r="L85" s="38"/>
      <c r="M85" s="175"/>
      <c r="N85" s="61"/>
      <c r="Q85" s="181"/>
      <c r="S85" s="182"/>
      <c r="T85" s="182"/>
      <c r="U85" s="350"/>
    </row>
    <row r="86" spans="1:36">
      <c r="A86" s="41"/>
      <c r="B86" s="796"/>
      <c r="C86" s="797"/>
      <c r="D86" s="797"/>
      <c r="E86" s="797"/>
      <c r="F86" s="797"/>
      <c r="G86" s="797"/>
      <c r="H86" s="797"/>
      <c r="I86" s="797"/>
      <c r="J86" s="797"/>
      <c r="K86" s="43"/>
      <c r="L86" s="43"/>
      <c r="M86" s="187"/>
      <c r="N86" s="61"/>
      <c r="S86" s="182"/>
      <c r="T86" s="182"/>
      <c r="U86" s="182"/>
    </row>
    <row r="87" spans="1:36" ht="25.35" customHeight="1">
      <c r="A87" s="41"/>
      <c r="B87" s="791" t="s">
        <v>43</v>
      </c>
      <c r="C87" s="778"/>
      <c r="D87" s="778"/>
      <c r="E87" s="778"/>
      <c r="F87" s="778"/>
      <c r="G87" s="778"/>
      <c r="H87" s="778"/>
      <c r="I87" s="778"/>
      <c r="J87" s="778"/>
      <c r="K87" s="778"/>
      <c r="L87" s="778"/>
      <c r="M87" s="792"/>
      <c r="N87" s="61"/>
      <c r="S87" s="182"/>
      <c r="T87" s="182"/>
      <c r="U87" s="350"/>
    </row>
    <row r="88" spans="1:36" ht="16.5" customHeight="1">
      <c r="A88" s="41"/>
      <c r="B88" s="793"/>
      <c r="C88" s="794"/>
      <c r="D88" s="794"/>
      <c r="E88" s="794"/>
      <c r="F88" s="794"/>
      <c r="G88" s="794"/>
      <c r="H88" s="794"/>
      <c r="I88" s="794"/>
      <c r="J88" s="794"/>
      <c r="K88" s="794"/>
      <c r="L88" s="795"/>
      <c r="M88" s="351"/>
      <c r="N88" s="61"/>
      <c r="S88" s="182"/>
      <c r="T88" s="182"/>
      <c r="U88" s="350"/>
    </row>
    <row r="89" spans="1:36" ht="15" customHeight="1">
      <c r="A89" s="41"/>
      <c r="B89" s="796"/>
      <c r="C89" s="797"/>
      <c r="D89" s="797"/>
      <c r="E89" s="797"/>
      <c r="F89" s="797"/>
      <c r="G89" s="797"/>
      <c r="H89" s="797"/>
      <c r="I89" s="797"/>
      <c r="J89" s="797"/>
      <c r="K89" s="797"/>
      <c r="L89" s="798"/>
      <c r="M89" s="351"/>
      <c r="N89" s="61"/>
      <c r="S89" s="182"/>
      <c r="T89" s="182"/>
      <c r="U89" s="350"/>
    </row>
    <row r="90" spans="1:36" ht="12.75" customHeight="1">
      <c r="A90" s="41"/>
      <c r="B90" s="796"/>
      <c r="C90" s="797"/>
      <c r="D90" s="797"/>
      <c r="E90" s="797"/>
      <c r="F90" s="797"/>
      <c r="G90" s="797"/>
      <c r="H90" s="797"/>
      <c r="I90" s="797"/>
      <c r="J90" s="797"/>
      <c r="K90" s="797"/>
      <c r="L90" s="798"/>
      <c r="M90" s="351"/>
      <c r="N90" s="61"/>
      <c r="S90" s="182"/>
      <c r="T90" s="182"/>
      <c r="U90" s="350"/>
    </row>
    <row r="91" spans="1:36" ht="16.5" customHeight="1">
      <c r="A91" s="41"/>
      <c r="B91" s="796"/>
      <c r="C91" s="797"/>
      <c r="D91" s="797"/>
      <c r="E91" s="797"/>
      <c r="F91" s="797"/>
      <c r="G91" s="797"/>
      <c r="H91" s="797"/>
      <c r="I91" s="797"/>
      <c r="J91" s="797"/>
      <c r="K91" s="797"/>
      <c r="L91" s="798"/>
      <c r="M91" s="351"/>
      <c r="N91" s="61"/>
      <c r="S91" s="182"/>
      <c r="T91" s="182"/>
      <c r="U91" s="350"/>
      <c r="AJ91" s="181"/>
    </row>
    <row r="92" spans="1:36" ht="16.5" customHeight="1">
      <c r="A92" s="41"/>
      <c r="B92" s="796"/>
      <c r="C92" s="797"/>
      <c r="D92" s="797"/>
      <c r="E92" s="797"/>
      <c r="F92" s="797"/>
      <c r="G92" s="797"/>
      <c r="H92" s="797"/>
      <c r="I92" s="797"/>
      <c r="J92" s="797"/>
      <c r="K92" s="797"/>
      <c r="L92" s="798"/>
      <c r="M92" s="351"/>
      <c r="N92" s="61"/>
      <c r="S92" s="182"/>
      <c r="T92" s="182"/>
      <c r="U92" s="350"/>
    </row>
    <row r="93" spans="1:36" ht="16.5" customHeight="1">
      <c r="A93" s="41"/>
      <c r="B93" s="796"/>
      <c r="C93" s="797"/>
      <c r="D93" s="797"/>
      <c r="E93" s="797"/>
      <c r="F93" s="797"/>
      <c r="G93" s="797"/>
      <c r="H93" s="797"/>
      <c r="I93" s="797"/>
      <c r="J93" s="797"/>
      <c r="K93" s="797"/>
      <c r="L93" s="798"/>
      <c r="M93" s="351"/>
      <c r="N93" s="61"/>
      <c r="S93" s="182"/>
      <c r="T93" s="182"/>
      <c r="U93" s="350"/>
    </row>
    <row r="94" spans="1:36" ht="16.5" customHeight="1">
      <c r="A94" s="41"/>
      <c r="B94" s="796"/>
      <c r="C94" s="797"/>
      <c r="D94" s="797"/>
      <c r="E94" s="797"/>
      <c r="F94" s="797"/>
      <c r="G94" s="797"/>
      <c r="H94" s="797"/>
      <c r="I94" s="797"/>
      <c r="J94" s="797"/>
      <c r="K94" s="797"/>
      <c r="L94" s="798"/>
      <c r="M94" s="351" t="s">
        <v>623</v>
      </c>
      <c r="N94" s="61"/>
      <c r="O94" s="802" t="s">
        <v>627</v>
      </c>
      <c r="P94" s="803"/>
      <c r="Q94" s="804"/>
      <c r="S94" s="182"/>
      <c r="T94" s="182"/>
      <c r="U94" s="350"/>
    </row>
    <row r="95" spans="1:36" ht="16.5" customHeight="1">
      <c r="A95" s="41"/>
      <c r="B95" s="796"/>
      <c r="C95" s="797"/>
      <c r="D95" s="797"/>
      <c r="E95" s="797"/>
      <c r="F95" s="797"/>
      <c r="G95" s="797"/>
      <c r="H95" s="797"/>
      <c r="I95" s="797"/>
      <c r="J95" s="797"/>
      <c r="K95" s="797"/>
      <c r="L95" s="798"/>
      <c r="M95" s="351"/>
      <c r="N95" s="61"/>
      <c r="O95" s="352" t="s">
        <v>624</v>
      </c>
      <c r="P95" s="352" t="s">
        <v>625</v>
      </c>
      <c r="Q95" s="353" t="s">
        <v>626</v>
      </c>
      <c r="S95" s="182"/>
      <c r="T95" s="182"/>
      <c r="U95" s="350"/>
    </row>
    <row r="96" spans="1:36" ht="16.5" customHeight="1">
      <c r="A96" s="41"/>
      <c r="B96" s="796"/>
      <c r="C96" s="797"/>
      <c r="D96" s="797"/>
      <c r="E96" s="797"/>
      <c r="F96" s="797"/>
      <c r="G96" s="797"/>
      <c r="H96" s="797"/>
      <c r="I96" s="797"/>
      <c r="J96" s="797"/>
      <c r="K96" s="797"/>
      <c r="L96" s="798"/>
      <c r="M96" s="351"/>
      <c r="N96" s="61"/>
      <c r="O96" s="353"/>
      <c r="P96" s="353"/>
      <c r="Q96" s="353"/>
      <c r="S96" s="182"/>
      <c r="T96" s="182"/>
      <c r="U96" s="350"/>
    </row>
    <row r="97" spans="1:21" ht="21.75" customHeight="1">
      <c r="A97" s="41"/>
      <c r="B97" s="796"/>
      <c r="C97" s="797"/>
      <c r="D97" s="797"/>
      <c r="E97" s="797"/>
      <c r="F97" s="797"/>
      <c r="G97" s="797"/>
      <c r="H97" s="797"/>
      <c r="I97" s="797"/>
      <c r="J97" s="797"/>
      <c r="K97" s="797"/>
      <c r="L97" s="798"/>
      <c r="M97" s="351"/>
      <c r="N97" s="61"/>
      <c r="S97" s="182"/>
      <c r="T97" s="182"/>
      <c r="U97" s="350"/>
    </row>
    <row r="98" spans="1:21" ht="19.5" customHeight="1">
      <c r="A98" s="41"/>
      <c r="B98" s="796"/>
      <c r="C98" s="797"/>
      <c r="D98" s="797"/>
      <c r="E98" s="797"/>
      <c r="F98" s="797"/>
      <c r="G98" s="797"/>
      <c r="H98" s="797"/>
      <c r="I98" s="797"/>
      <c r="J98" s="797"/>
      <c r="K98" s="797"/>
      <c r="L98" s="798"/>
      <c r="M98" s="351"/>
      <c r="N98" s="61"/>
      <c r="S98" s="182"/>
      <c r="T98" s="182"/>
      <c r="U98" s="350"/>
    </row>
    <row r="99" spans="1:21" ht="16.5" customHeight="1">
      <c r="A99" s="41"/>
      <c r="B99" s="796"/>
      <c r="C99" s="797"/>
      <c r="D99" s="797"/>
      <c r="E99" s="797"/>
      <c r="F99" s="797"/>
      <c r="G99" s="797"/>
      <c r="H99" s="797"/>
      <c r="I99" s="797"/>
      <c r="J99" s="797"/>
      <c r="K99" s="797"/>
      <c r="L99" s="798"/>
      <c r="M99" s="351"/>
      <c r="N99" s="61"/>
      <c r="S99" s="182"/>
      <c r="T99" s="182"/>
      <c r="U99" s="350"/>
    </row>
    <row r="100" spans="1:21" ht="15.75" customHeight="1">
      <c r="A100" s="41"/>
      <c r="B100" s="796"/>
      <c r="C100" s="797"/>
      <c r="D100" s="797"/>
      <c r="E100" s="797"/>
      <c r="F100" s="797"/>
      <c r="G100" s="797"/>
      <c r="H100" s="797"/>
      <c r="I100" s="797"/>
      <c r="J100" s="797"/>
      <c r="K100" s="797"/>
      <c r="L100" s="798"/>
      <c r="M100" s="351"/>
      <c r="N100" s="61"/>
      <c r="U100" s="181"/>
    </row>
    <row r="101" spans="1:21" ht="14.25" customHeight="1">
      <c r="A101" s="41"/>
      <c r="B101" s="796"/>
      <c r="C101" s="797"/>
      <c r="D101" s="797"/>
      <c r="E101" s="797"/>
      <c r="F101" s="797"/>
      <c r="G101" s="797"/>
      <c r="H101" s="797"/>
      <c r="I101" s="797"/>
      <c r="J101" s="797"/>
      <c r="K101" s="797"/>
      <c r="L101" s="798"/>
      <c r="M101" s="351"/>
      <c r="N101" s="61"/>
      <c r="U101" s="181"/>
    </row>
    <row r="102" spans="1:21" ht="16.5" customHeight="1">
      <c r="A102" s="41"/>
      <c r="B102" s="796"/>
      <c r="C102" s="797"/>
      <c r="D102" s="797"/>
      <c r="E102" s="797"/>
      <c r="F102" s="797"/>
      <c r="G102" s="797"/>
      <c r="H102" s="797"/>
      <c r="I102" s="797"/>
      <c r="J102" s="797"/>
      <c r="K102" s="797"/>
      <c r="L102" s="798"/>
      <c r="M102" s="351"/>
      <c r="N102" s="61"/>
      <c r="S102" s="182"/>
      <c r="T102" s="182"/>
      <c r="U102" s="350"/>
    </row>
    <row r="103" spans="1:21" ht="18.75" customHeight="1">
      <c r="A103" s="41"/>
      <c r="B103" s="796"/>
      <c r="C103" s="797"/>
      <c r="D103" s="797"/>
      <c r="E103" s="797"/>
      <c r="F103" s="797"/>
      <c r="G103" s="797"/>
      <c r="H103" s="797"/>
      <c r="I103" s="797"/>
      <c r="J103" s="797"/>
      <c r="K103" s="797"/>
      <c r="L103" s="798"/>
      <c r="M103" s="351"/>
      <c r="N103" s="61"/>
      <c r="S103" s="182"/>
      <c r="T103" s="182"/>
      <c r="U103" s="350"/>
    </row>
    <row r="104" spans="1:21" ht="17.25" customHeight="1">
      <c r="A104" s="41"/>
      <c r="B104" s="796"/>
      <c r="C104" s="797"/>
      <c r="D104" s="797"/>
      <c r="E104" s="797"/>
      <c r="F104" s="797"/>
      <c r="G104" s="797"/>
      <c r="H104" s="797"/>
      <c r="I104" s="797"/>
      <c r="J104" s="797"/>
      <c r="K104" s="797"/>
      <c r="L104" s="798"/>
      <c r="M104" s="351"/>
      <c r="N104" s="61"/>
      <c r="S104" s="182"/>
      <c r="T104" s="182"/>
      <c r="U104" s="350"/>
    </row>
    <row r="105" spans="1:21" ht="19.5" customHeight="1">
      <c r="A105" s="41"/>
      <c r="B105" s="796"/>
      <c r="C105" s="797"/>
      <c r="D105" s="797"/>
      <c r="E105" s="797"/>
      <c r="F105" s="797"/>
      <c r="G105" s="797"/>
      <c r="H105" s="797"/>
      <c r="I105" s="797"/>
      <c r="J105" s="797"/>
      <c r="K105" s="797"/>
      <c r="L105" s="798"/>
      <c r="M105" s="351"/>
      <c r="N105" s="61"/>
      <c r="S105" s="182"/>
      <c r="T105" s="182"/>
      <c r="U105" s="350"/>
    </row>
    <row r="106" spans="1:21" ht="18.75" customHeight="1">
      <c r="A106" s="41"/>
      <c r="B106" s="796"/>
      <c r="C106" s="797"/>
      <c r="D106" s="797"/>
      <c r="E106" s="797"/>
      <c r="F106" s="797"/>
      <c r="G106" s="797"/>
      <c r="H106" s="797"/>
      <c r="I106" s="797"/>
      <c r="J106" s="797"/>
      <c r="K106" s="797"/>
      <c r="L106" s="798"/>
      <c r="M106" s="351"/>
      <c r="N106" s="61"/>
      <c r="S106" s="182"/>
      <c r="T106" s="182"/>
      <c r="U106" s="350"/>
    </row>
    <row r="107" spans="1:21" ht="18.75" customHeight="1">
      <c r="A107" s="41"/>
      <c r="B107" s="796"/>
      <c r="C107" s="797"/>
      <c r="D107" s="797"/>
      <c r="E107" s="797"/>
      <c r="F107" s="797"/>
      <c r="G107" s="797"/>
      <c r="H107" s="797"/>
      <c r="I107" s="797"/>
      <c r="J107" s="797"/>
      <c r="K107" s="797"/>
      <c r="L107" s="798"/>
      <c r="M107" s="351"/>
      <c r="N107" s="61"/>
      <c r="S107" s="182"/>
      <c r="T107" s="182"/>
      <c r="U107" s="350"/>
    </row>
    <row r="108" spans="1:21" ht="12" customHeight="1">
      <c r="A108" s="41"/>
      <c r="B108" s="796"/>
      <c r="C108" s="797"/>
      <c r="D108" s="797"/>
      <c r="E108" s="797"/>
      <c r="F108" s="797"/>
      <c r="G108" s="797"/>
      <c r="H108" s="797"/>
      <c r="I108" s="797"/>
      <c r="J108" s="797"/>
      <c r="K108" s="797"/>
      <c r="L108" s="798"/>
      <c r="M108" s="351"/>
      <c r="N108" s="61"/>
      <c r="S108" s="182"/>
      <c r="T108" s="182"/>
      <c r="U108" s="350"/>
    </row>
    <row r="109" spans="1:21" ht="15.75" customHeight="1">
      <c r="A109" s="41"/>
      <c r="B109" s="796"/>
      <c r="C109" s="797"/>
      <c r="D109" s="797"/>
      <c r="E109" s="797"/>
      <c r="F109" s="797"/>
      <c r="G109" s="797"/>
      <c r="H109" s="797"/>
      <c r="I109" s="797"/>
      <c r="J109" s="797"/>
      <c r="K109" s="797"/>
      <c r="L109" s="798"/>
      <c r="M109" s="351"/>
      <c r="N109" s="61"/>
      <c r="S109" s="182"/>
      <c r="T109" s="182"/>
      <c r="U109" s="350"/>
    </row>
    <row r="110" spans="1:21" ht="22.5" customHeight="1">
      <c r="A110" s="41"/>
      <c r="B110" s="796"/>
      <c r="C110" s="797"/>
      <c r="D110" s="797"/>
      <c r="E110" s="797"/>
      <c r="F110" s="797"/>
      <c r="G110" s="797"/>
      <c r="H110" s="797"/>
      <c r="I110" s="797"/>
      <c r="J110" s="797"/>
      <c r="K110" s="797"/>
      <c r="L110" s="798"/>
      <c r="M110" s="351"/>
      <c r="N110" s="61"/>
      <c r="S110" s="182"/>
      <c r="T110" s="182"/>
      <c r="U110" s="350"/>
    </row>
    <row r="111" spans="1:21" ht="15.75" customHeight="1">
      <c r="A111" s="41"/>
      <c r="B111" s="796"/>
      <c r="C111" s="797"/>
      <c r="D111" s="797"/>
      <c r="E111" s="797"/>
      <c r="F111" s="797"/>
      <c r="G111" s="797"/>
      <c r="H111" s="797"/>
      <c r="I111" s="797"/>
      <c r="J111" s="797"/>
      <c r="K111" s="797"/>
      <c r="L111" s="798"/>
      <c r="M111" s="351"/>
      <c r="N111" s="61"/>
      <c r="S111" s="182"/>
      <c r="T111" s="182"/>
      <c r="U111" s="350"/>
    </row>
    <row r="112" spans="1:21" ht="15" customHeight="1">
      <c r="A112" s="41"/>
      <c r="B112" s="796"/>
      <c r="C112" s="797"/>
      <c r="D112" s="797"/>
      <c r="E112" s="797"/>
      <c r="F112" s="797"/>
      <c r="G112" s="797"/>
      <c r="H112" s="797"/>
      <c r="I112" s="797"/>
      <c r="J112" s="797"/>
      <c r="K112" s="797"/>
      <c r="L112" s="798"/>
      <c r="M112" s="351"/>
      <c r="N112" s="61"/>
      <c r="S112" s="182"/>
      <c r="T112" s="182"/>
      <c r="U112" s="350"/>
    </row>
    <row r="113" spans="1:21" ht="16.5" customHeight="1">
      <c r="A113" s="41"/>
      <c r="B113" s="796"/>
      <c r="C113" s="797"/>
      <c r="D113" s="797"/>
      <c r="E113" s="797"/>
      <c r="F113" s="797"/>
      <c r="G113" s="797"/>
      <c r="H113" s="797"/>
      <c r="I113" s="797"/>
      <c r="J113" s="797"/>
      <c r="K113" s="797"/>
      <c r="L113" s="798"/>
      <c r="M113" s="351"/>
      <c r="N113" s="61"/>
      <c r="S113" s="182"/>
      <c r="T113" s="182"/>
      <c r="U113" s="350"/>
    </row>
    <row r="114" spans="1:21" ht="16.5" customHeight="1">
      <c r="A114" s="41"/>
      <c r="B114" s="796"/>
      <c r="C114" s="797"/>
      <c r="D114" s="797"/>
      <c r="E114" s="797"/>
      <c r="F114" s="797"/>
      <c r="G114" s="797"/>
      <c r="H114" s="797"/>
      <c r="I114" s="797"/>
      <c r="J114" s="797"/>
      <c r="K114" s="797"/>
      <c r="L114" s="798"/>
      <c r="M114" s="351"/>
      <c r="N114" s="61"/>
      <c r="S114" s="182"/>
      <c r="T114" s="182"/>
      <c r="U114" s="350"/>
    </row>
    <row r="115" spans="1:21" ht="16.5" customHeight="1">
      <c r="A115" s="41"/>
      <c r="B115" s="799"/>
      <c r="C115" s="800"/>
      <c r="D115" s="800"/>
      <c r="E115" s="800"/>
      <c r="F115" s="800"/>
      <c r="G115" s="800"/>
      <c r="H115" s="800"/>
      <c r="I115" s="800"/>
      <c r="J115" s="800"/>
      <c r="K115" s="800"/>
      <c r="L115" s="801"/>
      <c r="M115" s="351"/>
      <c r="N115" s="61"/>
      <c r="S115" s="182"/>
      <c r="T115" s="182"/>
      <c r="U115" s="350"/>
    </row>
    <row r="116" spans="1:21">
      <c r="A116" s="38"/>
      <c r="B116" s="38"/>
      <c r="C116" s="38"/>
      <c r="D116" s="38"/>
      <c r="E116" s="38"/>
      <c r="F116" s="38"/>
      <c r="G116" s="38"/>
      <c r="H116" s="38"/>
      <c r="I116" s="38"/>
      <c r="J116" s="38"/>
      <c r="K116" s="38"/>
      <c r="L116" s="38"/>
      <c r="M116" s="38"/>
      <c r="N116" s="38"/>
    </row>
  </sheetData>
  <mergeCells count="17">
    <mergeCell ref="J2:K2"/>
    <mergeCell ref="L2:M2"/>
    <mergeCell ref="J3:K3"/>
    <mergeCell ref="J4:K4"/>
    <mergeCell ref="L4:M4"/>
    <mergeCell ref="B50:M50"/>
    <mergeCell ref="B88:L115"/>
    <mergeCell ref="O94:Q94"/>
    <mergeCell ref="J5:K5"/>
    <mergeCell ref="L5:M5"/>
    <mergeCell ref="B51:J86"/>
    <mergeCell ref="B87:M87"/>
    <mergeCell ref="I6:J6"/>
    <mergeCell ref="A7:N7"/>
    <mergeCell ref="A9:N9"/>
    <mergeCell ref="B11:M11"/>
    <mergeCell ref="B12:J49"/>
  </mergeCells>
  <phoneticPr fontId="3" type="noConversion"/>
  <pageMargins left="0.70866141732283472" right="0.70866141732283472" top="0.74803149606299213" bottom="0.74803149606299213" header="0.31496062992125984" footer="0.31496062992125984"/>
  <pageSetup paperSize="9" scale="37" orientation="portrait" r:id="rId1"/>
  <headerFooter>
    <oddHeader>&amp;C&amp;G</oddHeader>
    <oddFooter>&amp;C&amp;1#&amp;"맑은 고딕"&amp;6&amp;K737373관 윤 / 1628679@mobis.co.kr / 본 문서는 현대모비스의 대외비 정보자산이므로 무단 전재 및 복제할 수 없으며, 위반 시 당사 사규 및 관련 법규에 의해 제재될 수 있습니다.</oddFoot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AB26"/>
  <sheetViews>
    <sheetView showGridLines="0" zoomScale="115" zoomScaleNormal="115" zoomScaleSheetLayoutView="85" zoomScalePageLayoutView="25" workbookViewId="0">
      <selection activeCell="D30" sqref="D30"/>
    </sheetView>
  </sheetViews>
  <sheetFormatPr defaultColWidth="8" defaultRowHeight="13.5"/>
  <cols>
    <col min="1" max="1" width="5" style="342" customWidth="1"/>
    <col min="2" max="2" width="7.140625" style="347" bestFit="1" customWidth="1"/>
    <col min="3" max="3" width="18.42578125" style="342" bestFit="1" customWidth="1"/>
    <col min="4" max="4" width="77.7109375" style="342" bestFit="1" customWidth="1"/>
    <col min="5" max="7" width="14.7109375" style="342" customWidth="1"/>
    <col min="8" max="8" width="16.28515625" style="342" customWidth="1"/>
    <col min="9" max="9" width="19.7109375" style="342" customWidth="1"/>
    <col min="10" max="10" width="5" style="342" customWidth="1"/>
    <col min="11" max="16384" width="8" style="342"/>
  </cols>
  <sheetData>
    <row r="1" spans="1:28" s="125" customFormat="1" ht="15">
      <c r="C1" s="128"/>
      <c r="D1" s="128"/>
      <c r="E1" s="148"/>
      <c r="F1" s="148"/>
      <c r="G1" s="148"/>
      <c r="H1" s="148"/>
      <c r="I1" s="148"/>
      <c r="J1" s="148"/>
      <c r="K1" s="148"/>
      <c r="L1" s="148"/>
      <c r="M1" s="148"/>
      <c r="R1" s="149"/>
      <c r="Z1" s="149"/>
      <c r="AA1" s="149"/>
      <c r="AB1" s="149"/>
    </row>
    <row r="2" spans="1:28" s="125" customFormat="1" ht="15.75">
      <c r="D2" s="128"/>
      <c r="E2" s="148"/>
      <c r="G2" s="11" t="s">
        <v>19</v>
      </c>
      <c r="H2" s="823" t="str">
        <f>Cover!$F$18</f>
        <v>ELM-803-FS-0001</v>
      </c>
      <c r="I2" s="824"/>
      <c r="J2" s="148"/>
      <c r="K2" s="148"/>
      <c r="L2" s="148"/>
      <c r="M2" s="148"/>
      <c r="R2" s="149"/>
      <c r="Z2" s="149"/>
      <c r="AA2" s="149"/>
      <c r="AB2" s="149"/>
    </row>
    <row r="3" spans="1:28" s="125" customFormat="1" ht="25.5" customHeight="1">
      <c r="D3" s="128"/>
      <c r="E3" s="148"/>
      <c r="G3" s="14" t="s">
        <v>7</v>
      </c>
      <c r="H3" s="15" t="str">
        <f>Cover!$F$19</f>
        <v>Safety Manager</v>
      </c>
      <c r="I3" s="40" t="str">
        <f>Cover!$G$19</f>
        <v>I. Kök</v>
      </c>
      <c r="J3" s="148"/>
      <c r="K3" s="148"/>
      <c r="L3" s="148"/>
      <c r="M3" s="148"/>
      <c r="R3" s="149"/>
      <c r="Z3" s="149"/>
      <c r="AA3" s="149"/>
      <c r="AB3" s="149"/>
    </row>
    <row r="4" spans="1:28" s="125" customFormat="1" ht="15.75">
      <c r="D4" s="128"/>
      <c r="E4" s="148"/>
      <c r="G4" s="14" t="s">
        <v>8</v>
      </c>
      <c r="H4" s="825" t="str">
        <f>Cover!$F$20</f>
        <v>B2</v>
      </c>
      <c r="I4" s="826"/>
      <c r="J4" s="148"/>
      <c r="K4" s="148"/>
      <c r="L4" s="148"/>
      <c r="M4" s="148"/>
      <c r="R4" s="149"/>
      <c r="Z4" s="149"/>
      <c r="AA4" s="149"/>
      <c r="AB4" s="149"/>
    </row>
    <row r="5" spans="1:28" s="125" customFormat="1" ht="15.75">
      <c r="D5" s="128"/>
      <c r="E5" s="148"/>
      <c r="G5" s="20" t="s">
        <v>20</v>
      </c>
      <c r="H5" s="827" t="str">
        <f>Cover!$F$21</f>
        <v>approved after review</v>
      </c>
      <c r="I5" s="828"/>
      <c r="J5" s="148"/>
      <c r="K5" s="148"/>
      <c r="L5" s="148"/>
      <c r="M5" s="148"/>
      <c r="R5" s="149"/>
      <c r="Z5" s="149"/>
      <c r="AA5" s="149"/>
      <c r="AB5" s="149"/>
    </row>
    <row r="6" spans="1:28" s="125" customFormat="1" ht="36.75" customHeight="1">
      <c r="A6" s="757" t="s">
        <v>22</v>
      </c>
      <c r="B6" s="757"/>
      <c r="C6" s="757"/>
      <c r="D6" s="757"/>
      <c r="E6" s="757"/>
      <c r="F6" s="757"/>
      <c r="G6" s="757"/>
      <c r="H6" s="757"/>
      <c r="I6" s="757"/>
      <c r="J6" s="757"/>
      <c r="K6" s="148"/>
      <c r="L6" s="148"/>
      <c r="M6" s="148"/>
      <c r="O6" s="148"/>
      <c r="P6" s="148"/>
      <c r="Q6" s="148"/>
      <c r="R6" s="148"/>
      <c r="S6" s="148"/>
      <c r="U6" s="148"/>
      <c r="V6" s="148"/>
      <c r="W6" s="148"/>
      <c r="X6" s="148"/>
      <c r="Z6" s="148"/>
      <c r="AA6" s="148"/>
      <c r="AB6" s="148"/>
    </row>
    <row r="7" spans="1:28" s="125" customFormat="1" ht="10.5" customHeight="1">
      <c r="C7" s="341"/>
      <c r="D7" s="341"/>
      <c r="E7" s="148"/>
      <c r="F7" s="148"/>
      <c r="G7" s="148"/>
      <c r="H7" s="148"/>
      <c r="I7" s="148"/>
      <c r="J7" s="148"/>
      <c r="K7" s="148"/>
      <c r="L7" s="148"/>
      <c r="M7" s="148"/>
      <c r="O7" s="148"/>
      <c r="P7" s="148"/>
      <c r="Q7" s="148"/>
      <c r="R7" s="148"/>
      <c r="S7" s="148"/>
      <c r="U7" s="148"/>
      <c r="V7" s="148"/>
      <c r="W7" s="148"/>
      <c r="X7" s="148"/>
      <c r="Z7" s="148"/>
      <c r="AA7" s="148"/>
      <c r="AB7" s="148"/>
    </row>
    <row r="8" spans="1:28" s="125" customFormat="1" ht="30" customHeight="1">
      <c r="A8" s="766" t="str">
        <f>Cover!A9</f>
        <v>ID803 - Vega</v>
      </c>
      <c r="B8" s="812"/>
      <c r="C8" s="812"/>
      <c r="D8" s="812"/>
      <c r="E8" s="812"/>
      <c r="F8" s="812"/>
      <c r="G8" s="812"/>
      <c r="H8" s="812"/>
      <c r="I8" s="812"/>
      <c r="J8" s="813"/>
      <c r="K8" s="148"/>
      <c r="L8" s="148"/>
      <c r="M8" s="148"/>
      <c r="O8" s="148"/>
      <c r="P8" s="148"/>
      <c r="Q8" s="148"/>
      <c r="R8" s="148"/>
      <c r="S8" s="148"/>
      <c r="U8" s="148"/>
      <c r="V8" s="148"/>
      <c r="W8" s="148"/>
      <c r="X8" s="148"/>
      <c r="Z8" s="148"/>
      <c r="AA8" s="148"/>
      <c r="AB8" s="148"/>
    </row>
    <row r="10" spans="1:28" ht="24">
      <c r="B10" s="832" t="s">
        <v>40</v>
      </c>
      <c r="C10" s="833"/>
      <c r="D10" s="833"/>
      <c r="E10" s="833"/>
      <c r="F10" s="833"/>
      <c r="G10" s="833"/>
      <c r="H10" s="833"/>
      <c r="I10" s="834"/>
    </row>
    <row r="11" spans="1:28" ht="24">
      <c r="B11" s="343" t="s">
        <v>21</v>
      </c>
      <c r="C11" s="344" t="s">
        <v>23</v>
      </c>
      <c r="D11" s="829" t="s">
        <v>24</v>
      </c>
      <c r="E11" s="830"/>
      <c r="F11" s="830"/>
      <c r="G11" s="830"/>
      <c r="H11" s="830"/>
      <c r="I11" s="831"/>
    </row>
    <row r="12" spans="1:28" ht="20.100000000000001" customHeight="1">
      <c r="B12" s="345" t="s">
        <v>25</v>
      </c>
      <c r="C12" s="384" t="s">
        <v>862</v>
      </c>
      <c r="D12" s="820" t="s">
        <v>1009</v>
      </c>
      <c r="E12" s="821"/>
      <c r="F12" s="821"/>
      <c r="G12" s="821"/>
      <c r="H12" s="821"/>
      <c r="I12" s="822"/>
    </row>
    <row r="13" spans="1:28" ht="18.75">
      <c r="B13" s="346" t="s">
        <v>26</v>
      </c>
      <c r="C13" s="384" t="s">
        <v>863</v>
      </c>
      <c r="D13" s="820" t="s">
        <v>1010</v>
      </c>
      <c r="E13" s="821"/>
      <c r="F13" s="821"/>
      <c r="G13" s="821"/>
      <c r="H13" s="821"/>
      <c r="I13" s="822"/>
    </row>
    <row r="14" spans="1:28" ht="18.75">
      <c r="B14" s="345" t="s">
        <v>27</v>
      </c>
      <c r="C14" s="384" t="s">
        <v>864</v>
      </c>
      <c r="D14" s="820" t="s">
        <v>1011</v>
      </c>
      <c r="E14" s="821"/>
      <c r="F14" s="821"/>
      <c r="G14" s="821"/>
      <c r="H14" s="821"/>
      <c r="I14" s="822"/>
    </row>
    <row r="15" spans="1:28" ht="18.75">
      <c r="B15" s="346" t="s">
        <v>28</v>
      </c>
      <c r="C15" s="384" t="s">
        <v>865</v>
      </c>
      <c r="D15" s="820" t="s">
        <v>1012</v>
      </c>
      <c r="E15" s="821"/>
      <c r="F15" s="821"/>
      <c r="G15" s="821"/>
      <c r="H15" s="821"/>
      <c r="I15" s="822"/>
    </row>
    <row r="16" spans="1:28" ht="18.75">
      <c r="B16" s="345" t="s">
        <v>34</v>
      </c>
      <c r="C16" s="384" t="s">
        <v>866</v>
      </c>
      <c r="D16" s="820" t="s">
        <v>1013</v>
      </c>
      <c r="E16" s="821"/>
      <c r="F16" s="821"/>
      <c r="G16" s="821"/>
      <c r="H16" s="821"/>
      <c r="I16" s="822"/>
    </row>
    <row r="17" spans="2:9" ht="18.75">
      <c r="B17" s="346" t="s">
        <v>35</v>
      </c>
      <c r="C17" s="384" t="s">
        <v>867</v>
      </c>
      <c r="D17" s="820" t="s">
        <v>879</v>
      </c>
      <c r="E17" s="821"/>
      <c r="F17" s="821"/>
      <c r="G17" s="821"/>
      <c r="H17" s="821"/>
      <c r="I17" s="822"/>
    </row>
    <row r="18" spans="2:9" ht="18.75">
      <c r="B18" s="345" t="s">
        <v>36</v>
      </c>
      <c r="C18" s="384" t="s">
        <v>868</v>
      </c>
      <c r="D18" s="820" t="s">
        <v>1014</v>
      </c>
      <c r="E18" s="821"/>
      <c r="F18" s="821"/>
      <c r="G18" s="821"/>
      <c r="H18" s="821"/>
      <c r="I18" s="822"/>
    </row>
    <row r="19" spans="2:9" ht="18.75">
      <c r="B19" s="346" t="s">
        <v>37</v>
      </c>
      <c r="C19" s="384" t="s">
        <v>869</v>
      </c>
      <c r="D19" s="820" t="s">
        <v>1015</v>
      </c>
      <c r="E19" s="821"/>
      <c r="F19" s="821"/>
      <c r="G19" s="821"/>
      <c r="H19" s="821"/>
      <c r="I19" s="822"/>
    </row>
    <row r="20" spans="2:9" ht="18.75">
      <c r="B20" s="345" t="s">
        <v>38</v>
      </c>
      <c r="C20" s="384" t="s">
        <v>870</v>
      </c>
      <c r="D20" s="820" t="s">
        <v>880</v>
      </c>
      <c r="E20" s="821"/>
      <c r="F20" s="821"/>
      <c r="G20" s="821"/>
      <c r="H20" s="821"/>
      <c r="I20" s="822"/>
    </row>
    <row r="21" spans="2:9" ht="18.75">
      <c r="B21" s="346" t="s">
        <v>39</v>
      </c>
      <c r="C21" s="384" t="s">
        <v>871</v>
      </c>
      <c r="D21" s="820" t="s">
        <v>877</v>
      </c>
      <c r="E21" s="821"/>
      <c r="F21" s="821"/>
      <c r="G21" s="821"/>
      <c r="H21" s="821"/>
      <c r="I21" s="822"/>
    </row>
    <row r="22" spans="2:9" ht="18.75">
      <c r="B22" s="346" t="s">
        <v>29</v>
      </c>
      <c r="C22" s="384" t="s">
        <v>872</v>
      </c>
      <c r="D22" s="820" t="s">
        <v>878</v>
      </c>
      <c r="E22" s="821"/>
      <c r="F22" s="821"/>
      <c r="G22" s="821"/>
      <c r="H22" s="821"/>
      <c r="I22" s="822"/>
    </row>
    <row r="23" spans="2:9" ht="18.75">
      <c r="B23" s="345" t="s">
        <v>30</v>
      </c>
      <c r="C23" s="384" t="s">
        <v>873</v>
      </c>
      <c r="D23" s="820" t="s">
        <v>881</v>
      </c>
      <c r="E23" s="821"/>
      <c r="F23" s="821"/>
      <c r="G23" s="821"/>
      <c r="H23" s="821"/>
      <c r="I23" s="822"/>
    </row>
    <row r="24" spans="2:9" ht="18.75">
      <c r="B24" s="346" t="s">
        <v>31</v>
      </c>
      <c r="C24" s="384" t="s">
        <v>874</v>
      </c>
      <c r="D24" s="820" t="s">
        <v>881</v>
      </c>
      <c r="E24" s="821"/>
      <c r="F24" s="821"/>
      <c r="G24" s="821"/>
      <c r="H24" s="821"/>
      <c r="I24" s="822"/>
    </row>
    <row r="25" spans="2:9" ht="18.75">
      <c r="B25" s="346" t="s">
        <v>32</v>
      </c>
      <c r="C25" s="384" t="s">
        <v>875</v>
      </c>
      <c r="D25" s="820" t="s">
        <v>881</v>
      </c>
      <c r="E25" s="821"/>
      <c r="F25" s="821"/>
      <c r="G25" s="821"/>
      <c r="H25" s="821"/>
      <c r="I25" s="822"/>
    </row>
    <row r="26" spans="2:9" ht="18.75">
      <c r="B26" s="345" t="s">
        <v>33</v>
      </c>
      <c r="C26" s="384" t="s">
        <v>876</v>
      </c>
      <c r="D26" s="820" t="s">
        <v>881</v>
      </c>
      <c r="E26" s="821"/>
      <c r="F26" s="821"/>
      <c r="G26" s="821"/>
      <c r="H26" s="821"/>
      <c r="I26" s="822"/>
    </row>
  </sheetData>
  <mergeCells count="22">
    <mergeCell ref="H2:I2"/>
    <mergeCell ref="H4:I4"/>
    <mergeCell ref="H5:I5"/>
    <mergeCell ref="D11:I11"/>
    <mergeCell ref="A6:J6"/>
    <mergeCell ref="A8:J8"/>
    <mergeCell ref="B10:I10"/>
    <mergeCell ref="D26:I26"/>
    <mergeCell ref="D25:I25"/>
    <mergeCell ref="D17:I17"/>
    <mergeCell ref="D18:I18"/>
    <mergeCell ref="D24:I24"/>
    <mergeCell ref="D22:I22"/>
    <mergeCell ref="D23:I23"/>
    <mergeCell ref="D12:I12"/>
    <mergeCell ref="D13:I13"/>
    <mergeCell ref="D19:I19"/>
    <mergeCell ref="D20:I20"/>
    <mergeCell ref="D21:I21"/>
    <mergeCell ref="D14:I14"/>
    <mergeCell ref="D15:I15"/>
    <mergeCell ref="D16:I16"/>
  </mergeCells>
  <phoneticPr fontId="3" type="noConversion"/>
  <pageMargins left="0.70866141732283472" right="0.70866141732283472" top="0.74803149606299213" bottom="0.74803149606299213" header="0.31496062992125984" footer="0.31496062992125984"/>
  <pageSetup paperSize="8" scale="67" fitToHeight="10" orientation="portrait" horizontalDpi="1200" verticalDpi="1200" r:id="rId1"/>
  <headerFooter>
    <oddHeader>&amp;C&amp;G</oddHeader>
    <oddFooter>&amp;L&amp;F&amp;R&amp;D&amp;C&amp;"맑은 고딕"&amp;11&amp;K000000&amp;"맑은 고딕"&amp;11&amp;K000000&amp;"맑은 고딕"&amp;11&amp;K000000&amp;P/&amp;N_x000D_&amp;1#&amp;"맑은 고딕"&amp;6&amp;K737373관 윤 / 1628679@mobis.co.kr / 본 문서는 현대모비스의 대외비 정보자산이므로 무단 전재 및 복제할 수 없으며, 위반 시 당사 사규 및 관련 법규에 의해 제재될 수 있습니다.</oddFooter>
  </headerFooter>
  <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Y34"/>
  <sheetViews>
    <sheetView topLeftCell="A5" zoomScale="115" zoomScaleNormal="115" zoomScaleSheetLayoutView="100" workbookViewId="0">
      <selection activeCell="C9" sqref="C9"/>
    </sheetView>
  </sheetViews>
  <sheetFormatPr defaultColWidth="9" defaultRowHeight="15"/>
  <cols>
    <col min="1" max="1" width="4.28515625" style="7" customWidth="1"/>
    <col min="2" max="2" width="3" style="7" bestFit="1" customWidth="1"/>
    <col min="3" max="3" width="5.42578125" style="37" bestFit="1" customWidth="1"/>
    <col min="4" max="4" width="18.140625" style="37" customWidth="1"/>
    <col min="5" max="5" width="16.28515625" style="7" bestFit="1" customWidth="1"/>
    <col min="6" max="6" width="31" style="7" bestFit="1" customWidth="1"/>
    <col min="7" max="7" width="71.7109375" style="7" bestFit="1" customWidth="1"/>
    <col min="8" max="8" width="30.85546875" style="7" customWidth="1"/>
    <col min="9" max="9" width="38" style="7" bestFit="1" customWidth="1"/>
    <col min="10" max="10" width="10.42578125" style="7" customWidth="1"/>
    <col min="11" max="11" width="25.85546875" style="7" bestFit="1" customWidth="1"/>
    <col min="12" max="12" width="12" style="412" bestFit="1" customWidth="1"/>
    <col min="13" max="13" width="11.85546875" style="7" bestFit="1" customWidth="1"/>
    <col min="14" max="14" width="5.42578125" style="7" customWidth="1"/>
    <col min="15" max="16384" width="9" style="7"/>
  </cols>
  <sheetData>
    <row r="1" spans="1:25">
      <c r="A1" s="1"/>
      <c r="B1" s="2"/>
      <c r="C1" s="3"/>
      <c r="D1" s="3"/>
      <c r="E1" s="2"/>
      <c r="F1" s="2"/>
      <c r="G1" s="2"/>
      <c r="H1" s="2"/>
      <c r="I1" s="2"/>
      <c r="J1" s="4"/>
      <c r="K1" s="5"/>
      <c r="L1" s="406"/>
      <c r="M1" s="1"/>
      <c r="N1" s="6"/>
    </row>
    <row r="2" spans="1:25" ht="15" customHeight="1">
      <c r="A2" s="8"/>
      <c r="B2" s="9"/>
      <c r="C2" s="10"/>
      <c r="D2" s="10"/>
      <c r="E2" s="9"/>
      <c r="F2" s="9"/>
      <c r="G2" s="9"/>
      <c r="H2" s="9"/>
      <c r="I2" s="843" t="s">
        <v>501</v>
      </c>
      <c r="J2" s="844"/>
      <c r="K2" s="823" t="str">
        <f>Cover!$F$18</f>
        <v>ELM-803-FS-0001</v>
      </c>
      <c r="L2" s="824"/>
      <c r="M2" s="12"/>
      <c r="N2" s="13"/>
    </row>
    <row r="3" spans="1:25" ht="15" customHeight="1">
      <c r="A3" s="8"/>
      <c r="B3" s="9"/>
      <c r="C3" s="10"/>
      <c r="D3" s="10"/>
      <c r="E3" s="9"/>
      <c r="F3" s="9"/>
      <c r="G3" s="9"/>
      <c r="H3" s="9"/>
      <c r="I3" s="843" t="s">
        <v>7</v>
      </c>
      <c r="J3" s="844"/>
      <c r="K3" s="15" t="str">
        <f>Cover!$F$19</f>
        <v>Safety Manager</v>
      </c>
      <c r="L3" s="407" t="str">
        <f>Cover!$G$19</f>
        <v>I. Kök</v>
      </c>
      <c r="M3" s="16"/>
      <c r="N3" s="9"/>
    </row>
    <row r="4" spans="1:25" ht="15" customHeight="1">
      <c r="A4" s="8"/>
      <c r="B4" s="9"/>
      <c r="C4" s="10"/>
      <c r="D4" s="10"/>
      <c r="E4" s="9"/>
      <c r="F4" s="9"/>
      <c r="G4" s="9"/>
      <c r="H4" s="9"/>
      <c r="I4" s="843" t="s">
        <v>8</v>
      </c>
      <c r="J4" s="844"/>
      <c r="K4" s="762" t="str">
        <f>Cover!$F$20</f>
        <v>B2</v>
      </c>
      <c r="L4" s="825"/>
      <c r="M4" s="16"/>
      <c r="N4" s="9"/>
    </row>
    <row r="5" spans="1:25" ht="15" customHeight="1">
      <c r="A5" s="17"/>
      <c r="B5" s="18"/>
      <c r="C5" s="19"/>
      <c r="D5" s="19"/>
      <c r="E5" s="18"/>
      <c r="F5" s="18"/>
      <c r="G5" s="18"/>
      <c r="H5" s="18"/>
      <c r="I5" s="843" t="s">
        <v>502</v>
      </c>
      <c r="J5" s="844"/>
      <c r="K5" s="764" t="str">
        <f>Cover!$F$21</f>
        <v>approved after review</v>
      </c>
      <c r="L5" s="827"/>
      <c r="M5" s="21"/>
      <c r="N5" s="9"/>
    </row>
    <row r="6" spans="1:25" ht="36">
      <c r="A6" s="8"/>
      <c r="B6" s="838" t="str">
        <f>Cover!A7</f>
        <v>FMEDA</v>
      </c>
      <c r="C6" s="839"/>
      <c r="D6" s="839"/>
      <c r="E6" s="839"/>
      <c r="F6" s="839"/>
      <c r="G6" s="839"/>
      <c r="H6" s="839"/>
      <c r="I6" s="839"/>
      <c r="J6" s="840"/>
      <c r="K6" s="840"/>
      <c r="L6" s="840"/>
      <c r="M6" s="839"/>
      <c r="N6" s="9"/>
    </row>
    <row r="7" spans="1:25">
      <c r="A7" s="17"/>
      <c r="B7" s="18"/>
      <c r="C7" s="19"/>
      <c r="D7" s="19"/>
      <c r="E7" s="18"/>
      <c r="F7" s="18"/>
      <c r="G7" s="18"/>
      <c r="H7" s="18"/>
      <c r="I7" s="18"/>
      <c r="J7" s="18"/>
      <c r="K7" s="18"/>
      <c r="L7" s="408"/>
      <c r="M7" s="18"/>
      <c r="N7" s="22"/>
    </row>
    <row r="8" spans="1:25" ht="26.25">
      <c r="A8" s="841" t="str">
        <f>Cover!A9</f>
        <v>ID803 - Vega</v>
      </c>
      <c r="B8" s="842"/>
      <c r="C8" s="842"/>
      <c r="D8" s="842"/>
      <c r="E8" s="842"/>
      <c r="F8" s="842"/>
      <c r="G8" s="842"/>
      <c r="H8" s="842"/>
      <c r="I8" s="842"/>
      <c r="J8" s="842"/>
      <c r="K8" s="842"/>
      <c r="L8" s="842"/>
      <c r="M8" s="842"/>
      <c r="N8" s="842"/>
      <c r="Y8" s="23"/>
    </row>
    <row r="9" spans="1:25">
      <c r="A9" s="24"/>
      <c r="B9" s="25"/>
      <c r="C9" s="26"/>
      <c r="D9" s="26"/>
      <c r="E9" s="25"/>
      <c r="F9" s="25"/>
      <c r="G9" s="25"/>
      <c r="H9" s="25"/>
      <c r="I9" s="25"/>
      <c r="J9" s="27"/>
      <c r="K9" s="27"/>
      <c r="L9" s="409"/>
      <c r="M9" s="25"/>
      <c r="N9" s="24"/>
    </row>
    <row r="10" spans="1:25" ht="24">
      <c r="A10" s="28"/>
      <c r="B10" s="835" t="s">
        <v>509</v>
      </c>
      <c r="C10" s="836"/>
      <c r="D10" s="836"/>
      <c r="E10" s="836"/>
      <c r="F10" s="836"/>
      <c r="G10" s="836"/>
      <c r="H10" s="836"/>
      <c r="I10" s="836"/>
      <c r="J10" s="836"/>
      <c r="K10" s="836"/>
      <c r="L10" s="836"/>
      <c r="M10" s="837"/>
      <c r="N10" s="28"/>
    </row>
    <row r="11" spans="1:25" s="23" customFormat="1" ht="40.5">
      <c r="A11" s="29"/>
      <c r="B11" s="418"/>
      <c r="C11" s="419" t="s">
        <v>64</v>
      </c>
      <c r="D11" s="419" t="s">
        <v>503</v>
      </c>
      <c r="E11" s="419" t="s">
        <v>505</v>
      </c>
      <c r="F11" s="419" t="s">
        <v>504</v>
      </c>
      <c r="G11" s="419" t="s">
        <v>506</v>
      </c>
      <c r="H11" s="420" t="s">
        <v>507</v>
      </c>
      <c r="I11" s="419" t="s">
        <v>508</v>
      </c>
      <c r="J11" s="420" t="s">
        <v>65</v>
      </c>
      <c r="K11" s="420" t="s">
        <v>66</v>
      </c>
      <c r="L11" s="421" t="s">
        <v>67</v>
      </c>
      <c r="M11" s="422" t="s">
        <v>1125</v>
      </c>
      <c r="N11" s="29"/>
    </row>
    <row r="12" spans="1:25" ht="40.5">
      <c r="A12" s="30"/>
      <c r="B12" s="33">
        <v>1</v>
      </c>
      <c r="C12" s="33" t="s">
        <v>828</v>
      </c>
      <c r="D12" s="33" t="s">
        <v>1040</v>
      </c>
      <c r="E12" s="34" t="s">
        <v>1128</v>
      </c>
      <c r="F12" s="34" t="s">
        <v>1115</v>
      </c>
      <c r="G12" s="34" t="s">
        <v>829</v>
      </c>
      <c r="H12" s="34" t="s">
        <v>1026</v>
      </c>
      <c r="I12" s="34" t="s">
        <v>1025</v>
      </c>
      <c r="J12" s="34"/>
      <c r="K12" s="405" t="s">
        <v>1149</v>
      </c>
      <c r="L12" s="413">
        <v>0.99</v>
      </c>
      <c r="M12" s="33"/>
      <c r="N12" s="30"/>
    </row>
    <row r="13" spans="1:25" ht="40.5">
      <c r="A13" s="30"/>
      <c r="B13" s="33">
        <v>2</v>
      </c>
      <c r="C13" s="33" t="s">
        <v>830</v>
      </c>
      <c r="D13" s="33" t="s">
        <v>1039</v>
      </c>
      <c r="E13" s="34" t="s">
        <v>1128</v>
      </c>
      <c r="F13" s="34" t="s">
        <v>1116</v>
      </c>
      <c r="G13" s="34" t="s">
        <v>831</v>
      </c>
      <c r="H13" s="34" t="s">
        <v>1026</v>
      </c>
      <c r="I13" s="34" t="s">
        <v>1027</v>
      </c>
      <c r="J13" s="34"/>
      <c r="K13" s="405" t="s">
        <v>1149</v>
      </c>
      <c r="L13" s="414">
        <v>0.99</v>
      </c>
      <c r="M13" s="33"/>
      <c r="N13" s="30"/>
    </row>
    <row r="14" spans="1:25" ht="40.5">
      <c r="A14" s="30"/>
      <c r="B14" s="33">
        <v>3</v>
      </c>
      <c r="C14" s="33" t="s">
        <v>832</v>
      </c>
      <c r="D14" s="33" t="s">
        <v>1050</v>
      </c>
      <c r="E14" s="34" t="s">
        <v>1129</v>
      </c>
      <c r="F14" s="34" t="s">
        <v>1141</v>
      </c>
      <c r="G14" s="34" t="s">
        <v>833</v>
      </c>
      <c r="H14" s="34" t="s">
        <v>1026</v>
      </c>
      <c r="I14" s="34" t="s">
        <v>1028</v>
      </c>
      <c r="J14" s="34"/>
      <c r="K14" s="405" t="s">
        <v>1149</v>
      </c>
      <c r="L14" s="414">
        <v>0.99</v>
      </c>
      <c r="M14" s="33"/>
      <c r="N14" s="30"/>
    </row>
    <row r="15" spans="1:25" ht="40.5">
      <c r="A15" s="30"/>
      <c r="B15" s="33">
        <v>4</v>
      </c>
      <c r="C15" s="33" t="s">
        <v>834</v>
      </c>
      <c r="D15" s="33" t="s">
        <v>1042</v>
      </c>
      <c r="E15" s="34" t="s">
        <v>1129</v>
      </c>
      <c r="F15" s="34" t="s">
        <v>1142</v>
      </c>
      <c r="G15" s="34" t="s">
        <v>835</v>
      </c>
      <c r="H15" s="34" t="s">
        <v>1026</v>
      </c>
      <c r="I15" s="34" t="s">
        <v>1028</v>
      </c>
      <c r="J15" s="34"/>
      <c r="K15" s="405" t="s">
        <v>1149</v>
      </c>
      <c r="L15" s="414">
        <v>0.99</v>
      </c>
      <c r="M15" s="33"/>
      <c r="N15" s="30"/>
    </row>
    <row r="16" spans="1:25" ht="54">
      <c r="A16" s="30"/>
      <c r="B16" s="33">
        <v>5</v>
      </c>
      <c r="C16" s="33" t="s">
        <v>836</v>
      </c>
      <c r="D16" s="33" t="s">
        <v>1041</v>
      </c>
      <c r="E16" s="34" t="s">
        <v>1129</v>
      </c>
      <c r="F16" s="34" t="s">
        <v>1143</v>
      </c>
      <c r="G16" s="34" t="s">
        <v>837</v>
      </c>
      <c r="H16" s="34" t="s">
        <v>1026</v>
      </c>
      <c r="I16" s="34" t="s">
        <v>1028</v>
      </c>
      <c r="J16" s="34"/>
      <c r="K16" s="405" t="s">
        <v>1149</v>
      </c>
      <c r="L16" s="414">
        <v>0.99</v>
      </c>
      <c r="M16" s="33"/>
      <c r="N16" s="30"/>
    </row>
    <row r="17" spans="1:14" ht="67.5">
      <c r="A17" s="30"/>
      <c r="B17" s="33">
        <v>6</v>
      </c>
      <c r="C17" s="33" t="s">
        <v>838</v>
      </c>
      <c r="D17" s="33" t="s">
        <v>1048</v>
      </c>
      <c r="E17" s="34" t="s">
        <v>1129</v>
      </c>
      <c r="F17" s="34" t="s">
        <v>1117</v>
      </c>
      <c r="G17" s="34" t="s">
        <v>839</v>
      </c>
      <c r="H17" s="34" t="s">
        <v>1026</v>
      </c>
      <c r="I17" s="34" t="s">
        <v>1028</v>
      </c>
      <c r="J17" s="34"/>
      <c r="K17" s="34" t="s">
        <v>1153</v>
      </c>
      <c r="L17" s="414">
        <v>0.9</v>
      </c>
      <c r="M17" s="33"/>
      <c r="N17" s="30"/>
    </row>
    <row r="18" spans="1:14" ht="40.5">
      <c r="A18" s="30"/>
      <c r="B18" s="33">
        <v>8</v>
      </c>
      <c r="C18" s="33" t="s">
        <v>840</v>
      </c>
      <c r="D18" s="33" t="s">
        <v>1044</v>
      </c>
      <c r="E18" s="34" t="s">
        <v>1130</v>
      </c>
      <c r="F18" s="34" t="s">
        <v>1144</v>
      </c>
      <c r="G18" s="34" t="s">
        <v>841</v>
      </c>
      <c r="H18" s="34" t="s">
        <v>1026</v>
      </c>
      <c r="I18" s="34" t="s">
        <v>1028</v>
      </c>
      <c r="J18" s="34"/>
      <c r="K18" s="405" t="s">
        <v>1150</v>
      </c>
      <c r="L18" s="414">
        <v>0.9</v>
      </c>
      <c r="M18" s="33"/>
      <c r="N18" s="30"/>
    </row>
    <row r="19" spans="1:14" ht="54">
      <c r="A19" s="30"/>
      <c r="B19" s="33">
        <v>9</v>
      </c>
      <c r="C19" s="33" t="s">
        <v>842</v>
      </c>
      <c r="D19" s="33" t="s">
        <v>1049</v>
      </c>
      <c r="E19" s="34" t="s">
        <v>870</v>
      </c>
      <c r="F19" s="34" t="s">
        <v>1118</v>
      </c>
      <c r="G19" s="34" t="s">
        <v>843</v>
      </c>
      <c r="H19" s="34" t="s">
        <v>1026</v>
      </c>
      <c r="I19" s="34" t="s">
        <v>1028</v>
      </c>
      <c r="J19" s="34"/>
      <c r="K19" s="34" t="s">
        <v>1158</v>
      </c>
      <c r="L19" s="414">
        <v>0.99</v>
      </c>
      <c r="M19" s="33"/>
      <c r="N19" s="30"/>
    </row>
    <row r="20" spans="1:14" ht="27">
      <c r="A20" s="30"/>
      <c r="B20" s="33">
        <v>10</v>
      </c>
      <c r="C20" s="33" t="s">
        <v>844</v>
      </c>
      <c r="D20" s="33" t="s">
        <v>1045</v>
      </c>
      <c r="E20" s="34" t="s">
        <v>870</v>
      </c>
      <c r="F20" s="34" t="s">
        <v>1119</v>
      </c>
      <c r="G20" s="34" t="s">
        <v>1038</v>
      </c>
      <c r="H20" s="34" t="s">
        <v>1026</v>
      </c>
      <c r="I20" s="34" t="s">
        <v>1030</v>
      </c>
      <c r="J20" s="34"/>
      <c r="K20" s="34" t="s">
        <v>1154</v>
      </c>
      <c r="L20" s="414">
        <v>0.9</v>
      </c>
      <c r="M20" s="33"/>
      <c r="N20" s="30"/>
    </row>
    <row r="21" spans="1:14" ht="40.5">
      <c r="A21" s="30"/>
      <c r="B21" s="33">
        <v>11</v>
      </c>
      <c r="C21" s="33" t="s">
        <v>845</v>
      </c>
      <c r="D21" s="33"/>
      <c r="E21" s="34" t="s">
        <v>865</v>
      </c>
      <c r="F21" s="34" t="s">
        <v>1120</v>
      </c>
      <c r="G21" s="34" t="s">
        <v>846</v>
      </c>
      <c r="H21" s="34" t="s">
        <v>1026</v>
      </c>
      <c r="I21" s="34" t="s">
        <v>1029</v>
      </c>
      <c r="J21" s="34"/>
      <c r="K21" s="34" t="s">
        <v>1152</v>
      </c>
      <c r="L21" s="414">
        <v>0.6</v>
      </c>
      <c r="M21" s="33"/>
      <c r="N21" s="30"/>
    </row>
    <row r="22" spans="1:14" ht="54">
      <c r="A22" s="30"/>
      <c r="B22" s="33">
        <v>12</v>
      </c>
      <c r="C22" s="33" t="s">
        <v>847</v>
      </c>
      <c r="D22" s="33"/>
      <c r="E22" s="34" t="s">
        <v>1129</v>
      </c>
      <c r="F22" s="34" t="s">
        <v>1121</v>
      </c>
      <c r="G22" s="34" t="s">
        <v>848</v>
      </c>
      <c r="H22" s="34" t="s">
        <v>1026</v>
      </c>
      <c r="I22" s="34" t="s">
        <v>1028</v>
      </c>
      <c r="J22" s="34"/>
      <c r="K22" s="34" t="s">
        <v>1155</v>
      </c>
      <c r="L22" s="414">
        <v>0.9</v>
      </c>
      <c r="M22" s="33"/>
      <c r="N22" s="30"/>
    </row>
    <row r="23" spans="1:14" ht="67.5">
      <c r="A23" s="30"/>
      <c r="B23" s="33">
        <v>13</v>
      </c>
      <c r="C23" s="33" t="s">
        <v>849</v>
      </c>
      <c r="D23" s="33" t="s">
        <v>1046</v>
      </c>
      <c r="E23" s="34" t="s">
        <v>1129</v>
      </c>
      <c r="F23" s="34" t="s">
        <v>1122</v>
      </c>
      <c r="G23" s="34" t="s">
        <v>850</v>
      </c>
      <c r="H23" s="34" t="s">
        <v>1026</v>
      </c>
      <c r="I23" s="34" t="s">
        <v>1032</v>
      </c>
      <c r="J23" s="34"/>
      <c r="K23" s="405" t="s">
        <v>1149</v>
      </c>
      <c r="L23" s="414">
        <v>0.99</v>
      </c>
      <c r="M23" s="33"/>
      <c r="N23" s="30"/>
    </row>
    <row r="24" spans="1:14" ht="40.5">
      <c r="A24" s="30"/>
      <c r="B24" s="33">
        <v>14</v>
      </c>
      <c r="C24" s="33" t="s">
        <v>851</v>
      </c>
      <c r="D24" s="33" t="s">
        <v>1043</v>
      </c>
      <c r="E24" s="34" t="s">
        <v>869</v>
      </c>
      <c r="F24" s="34" t="s">
        <v>1357</v>
      </c>
      <c r="G24" s="34" t="s">
        <v>852</v>
      </c>
      <c r="H24" s="34" t="s">
        <v>1026</v>
      </c>
      <c r="I24" s="34" t="s">
        <v>1029</v>
      </c>
      <c r="J24" s="34"/>
      <c r="K24" s="405" t="s">
        <v>1149</v>
      </c>
      <c r="L24" s="414">
        <v>0.99</v>
      </c>
      <c r="M24" s="33"/>
      <c r="N24" s="30"/>
    </row>
    <row r="25" spans="1:14" ht="40.5">
      <c r="A25" s="30"/>
      <c r="B25" s="33">
        <v>15</v>
      </c>
      <c r="C25" s="33" t="s">
        <v>853</v>
      </c>
      <c r="D25" s="33" t="s">
        <v>1051</v>
      </c>
      <c r="E25" s="34" t="s">
        <v>1128</v>
      </c>
      <c r="F25" s="34" t="s">
        <v>1146</v>
      </c>
      <c r="G25" s="34" t="s">
        <v>854</v>
      </c>
      <c r="H25" s="34" t="s">
        <v>1026</v>
      </c>
      <c r="I25" s="34" t="s">
        <v>1029</v>
      </c>
      <c r="J25" s="34"/>
      <c r="K25" s="405" t="s">
        <v>1149</v>
      </c>
      <c r="L25" s="414">
        <v>0.99</v>
      </c>
      <c r="M25" s="33"/>
      <c r="N25" s="30"/>
    </row>
    <row r="26" spans="1:14" ht="27">
      <c r="A26" s="30"/>
      <c r="B26" s="33">
        <v>16</v>
      </c>
      <c r="C26" s="33" t="s">
        <v>855</v>
      </c>
      <c r="D26" s="33"/>
      <c r="E26" s="34" t="s">
        <v>1131</v>
      </c>
      <c r="F26" s="34" t="s">
        <v>1145</v>
      </c>
      <c r="G26" s="34" t="s">
        <v>1016</v>
      </c>
      <c r="H26" s="34" t="s">
        <v>1036</v>
      </c>
      <c r="I26" s="34" t="s">
        <v>1028</v>
      </c>
      <c r="J26" s="34"/>
      <c r="K26" s="405" t="s">
        <v>1151</v>
      </c>
      <c r="L26" s="413">
        <v>0.9</v>
      </c>
      <c r="M26" s="33"/>
      <c r="N26" s="30"/>
    </row>
    <row r="27" spans="1:14" ht="67.5">
      <c r="A27" s="30"/>
      <c r="B27" s="33">
        <v>17</v>
      </c>
      <c r="C27" s="33" t="s">
        <v>856</v>
      </c>
      <c r="D27" s="33" t="s">
        <v>1047</v>
      </c>
      <c r="E27" s="34" t="s">
        <v>866</v>
      </c>
      <c r="F27" s="34" t="s">
        <v>1147</v>
      </c>
      <c r="G27" s="34" t="s">
        <v>858</v>
      </c>
      <c r="H27" s="34" t="s">
        <v>1026</v>
      </c>
      <c r="I27" s="34" t="s">
        <v>1033</v>
      </c>
      <c r="J27" s="34"/>
      <c r="K27" s="405" t="s">
        <v>1151</v>
      </c>
      <c r="L27" s="413">
        <v>0.9</v>
      </c>
      <c r="M27" s="33"/>
      <c r="N27" s="30"/>
    </row>
    <row r="28" spans="1:14" ht="27">
      <c r="A28" s="30"/>
      <c r="B28" s="33">
        <v>18</v>
      </c>
      <c r="C28" s="33" t="s">
        <v>859</v>
      </c>
      <c r="D28" s="33"/>
      <c r="E28" s="34" t="s">
        <v>870</v>
      </c>
      <c r="F28" s="34" t="s">
        <v>1123</v>
      </c>
      <c r="G28" s="34" t="s">
        <v>860</v>
      </c>
      <c r="H28" s="34" t="s">
        <v>1026</v>
      </c>
      <c r="I28" s="34" t="s">
        <v>1028</v>
      </c>
      <c r="J28" s="34"/>
      <c r="K28" s="34" t="s">
        <v>861</v>
      </c>
      <c r="L28" s="414">
        <v>0.99</v>
      </c>
      <c r="M28" s="33"/>
      <c r="N28" s="30"/>
    </row>
    <row r="29" spans="1:14">
      <c r="A29" s="30"/>
      <c r="B29" s="33">
        <v>20</v>
      </c>
      <c r="C29" s="33" t="s">
        <v>1017</v>
      </c>
      <c r="D29" s="33"/>
      <c r="E29" s="34" t="s">
        <v>864</v>
      </c>
      <c r="F29" s="34" t="s">
        <v>1148</v>
      </c>
      <c r="G29" s="34" t="s">
        <v>1022</v>
      </c>
      <c r="H29" s="34" t="s">
        <v>1026</v>
      </c>
      <c r="I29" s="34" t="s">
        <v>1031</v>
      </c>
      <c r="J29" s="34"/>
      <c r="K29" s="405" t="s">
        <v>1149</v>
      </c>
      <c r="L29" s="414">
        <v>0.99</v>
      </c>
      <c r="M29" s="33"/>
      <c r="N29" s="30"/>
    </row>
    <row r="30" spans="1:14" ht="27">
      <c r="A30" s="30"/>
      <c r="B30" s="33">
        <v>21</v>
      </c>
      <c r="C30" s="33" t="s">
        <v>1053</v>
      </c>
      <c r="D30" s="33"/>
      <c r="E30" s="34" t="s">
        <v>870</v>
      </c>
      <c r="F30" s="34" t="s">
        <v>1124</v>
      </c>
      <c r="G30" s="34" t="s">
        <v>1054</v>
      </c>
      <c r="H30" s="34" t="s">
        <v>1026</v>
      </c>
      <c r="I30" s="34" t="s">
        <v>1028</v>
      </c>
      <c r="J30" s="34"/>
      <c r="K30" s="34" t="s">
        <v>1021</v>
      </c>
      <c r="L30" s="414">
        <v>0.6</v>
      </c>
      <c r="M30" s="33"/>
      <c r="N30" s="30"/>
    </row>
    <row r="31" spans="1:14" ht="54">
      <c r="A31" s="30"/>
      <c r="B31" s="33">
        <v>22</v>
      </c>
      <c r="C31" s="33" t="s">
        <v>1195</v>
      </c>
      <c r="D31" s="33"/>
      <c r="E31" s="34" t="s">
        <v>1196</v>
      </c>
      <c r="F31" s="34" t="s">
        <v>1197</v>
      </c>
      <c r="G31" s="34" t="s">
        <v>1198</v>
      </c>
      <c r="H31" s="34" t="s">
        <v>1026</v>
      </c>
      <c r="I31" s="34" t="s">
        <v>1028</v>
      </c>
      <c r="J31" s="33"/>
      <c r="K31" s="34" t="s">
        <v>1199</v>
      </c>
      <c r="L31" s="410">
        <v>0.99</v>
      </c>
      <c r="M31" s="33"/>
      <c r="N31" s="30"/>
    </row>
    <row r="32" spans="1:14">
      <c r="A32" s="30"/>
      <c r="B32" s="33">
        <v>23</v>
      </c>
      <c r="C32" s="33" t="s">
        <v>1266</v>
      </c>
      <c r="D32" s="33"/>
      <c r="E32" s="34" t="s">
        <v>866</v>
      </c>
      <c r="F32" s="34" t="s">
        <v>1267</v>
      </c>
      <c r="G32" s="34" t="s">
        <v>1268</v>
      </c>
      <c r="H32" s="34" t="s">
        <v>1026</v>
      </c>
      <c r="I32" s="34" t="s">
        <v>1028</v>
      </c>
      <c r="J32" s="33"/>
      <c r="K32" s="34" t="s">
        <v>1199</v>
      </c>
      <c r="L32" s="410">
        <v>0.9</v>
      </c>
      <c r="M32" s="33"/>
      <c r="N32" s="30"/>
    </row>
    <row r="33" spans="1:14" ht="27">
      <c r="A33" s="30"/>
      <c r="B33" s="33">
        <v>24</v>
      </c>
      <c r="C33" s="33" t="s">
        <v>1353</v>
      </c>
      <c r="D33" s="33"/>
      <c r="E33" s="34" t="s">
        <v>1360</v>
      </c>
      <c r="F33" s="34" t="s">
        <v>1361</v>
      </c>
      <c r="G33" s="34" t="s">
        <v>1362</v>
      </c>
      <c r="H33" s="34" t="s">
        <v>1026</v>
      </c>
      <c r="I33" s="34" t="s">
        <v>1028</v>
      </c>
      <c r="J33" s="33"/>
      <c r="K33" s="405" t="s">
        <v>1151</v>
      </c>
      <c r="L33" s="410">
        <v>0.9</v>
      </c>
      <c r="M33" s="33"/>
      <c r="N33" s="30"/>
    </row>
    <row r="34" spans="1:14">
      <c r="A34" s="17"/>
      <c r="B34" s="35"/>
      <c r="C34" s="36"/>
      <c r="D34" s="36"/>
      <c r="E34" s="35"/>
      <c r="F34" s="35"/>
      <c r="G34" s="5"/>
      <c r="H34" s="5"/>
      <c r="I34" s="5"/>
      <c r="J34" s="5"/>
      <c r="K34" s="5"/>
      <c r="L34" s="411"/>
      <c r="M34" s="5"/>
      <c r="N34" s="22"/>
    </row>
  </sheetData>
  <mergeCells count="10">
    <mergeCell ref="B10:M10"/>
    <mergeCell ref="B6:M6"/>
    <mergeCell ref="K2:L2"/>
    <mergeCell ref="K4:L4"/>
    <mergeCell ref="K5:L5"/>
    <mergeCell ref="A8:N8"/>
    <mergeCell ref="I2:J2"/>
    <mergeCell ref="I3:J3"/>
    <mergeCell ref="I4:J4"/>
    <mergeCell ref="I5:J5"/>
  </mergeCells>
  <phoneticPr fontId="3" type="noConversion"/>
  <pageMargins left="0.7" right="0.7" top="0.75" bottom="0.75" header="0.3" footer="0.3"/>
  <pageSetup paperSize="9" scale="10" orientation="portrait" r:id="rId1"/>
  <headerFooter>
    <oddHeader>&amp;C&amp;G</oddHeader>
    <oddFooter>&amp;C&amp;1#&amp;"맑은 고딕"&amp;6&amp;K737373관 윤 / 1628679@mobis.co.kr / 본 문서는 현대모비스의 대외비 정보자산이므로 무단 전재 및 복제할 수 없으며, 위반 시 당사 사규 및 관련 법규에 의해 제재될 수 있습니다.</oddFooter>
  </headerFooter>
  <drawing r:id="rId2"/>
  <legacyDrawingHF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FFFF00"/>
  </sheetPr>
  <dimension ref="A1:AF203"/>
  <sheetViews>
    <sheetView topLeftCell="A66" zoomScale="130" zoomScaleNormal="130" zoomScaleSheetLayoutView="55" workbookViewId="0">
      <selection activeCell="F98" sqref="F98"/>
    </sheetView>
  </sheetViews>
  <sheetFormatPr defaultColWidth="8.7109375" defaultRowHeight="13.5"/>
  <cols>
    <col min="1" max="1" width="3.7109375" style="217" customWidth="1"/>
    <col min="2" max="2" width="9" style="217"/>
    <col min="3" max="3" width="12.28515625" style="217" customWidth="1"/>
    <col min="4" max="4" width="20" style="217" customWidth="1"/>
    <col min="5" max="5" width="17.7109375" style="217" customWidth="1"/>
    <col min="6" max="6" width="13.7109375" style="217" customWidth="1"/>
    <col min="7" max="7" width="12.42578125" style="217" customWidth="1"/>
    <col min="8" max="8" width="7.140625" style="217" customWidth="1"/>
    <col min="9" max="9" width="13.42578125" style="217" customWidth="1"/>
    <col min="10" max="10" width="13.140625" style="217" customWidth="1"/>
    <col min="11" max="11" width="11.42578125" style="217" bestFit="1" customWidth="1"/>
    <col min="12" max="19" width="9" style="217"/>
    <col min="20" max="20" width="9.42578125" style="217" customWidth="1"/>
    <col min="21" max="21" width="9" style="217"/>
    <col min="22" max="22" width="12.140625" style="217" customWidth="1"/>
    <col min="23" max="23" width="11.28515625" style="217" customWidth="1"/>
    <col min="24" max="24" width="9" style="217"/>
    <col min="25" max="25" width="8.28515625" style="217" customWidth="1"/>
    <col min="26" max="26" width="16.7109375" style="217" customWidth="1"/>
    <col min="27" max="27" width="13.28515625" style="217" customWidth="1"/>
    <col min="28" max="28" width="4.28515625" style="217" customWidth="1"/>
    <col min="29" max="261" width="9" style="217"/>
    <col min="262" max="262" width="8" style="217" customWidth="1"/>
    <col min="263" max="517" width="9" style="217"/>
    <col min="518" max="518" width="8" style="217" customWidth="1"/>
    <col min="519" max="773" width="9" style="217"/>
    <col min="774" max="774" width="8" style="217" customWidth="1"/>
    <col min="775" max="1029" width="9" style="217"/>
    <col min="1030" max="1030" width="8" style="217" customWidth="1"/>
    <col min="1031" max="1285" width="9" style="217"/>
    <col min="1286" max="1286" width="8" style="217" customWidth="1"/>
    <col min="1287" max="1541" width="9" style="217"/>
    <col min="1542" max="1542" width="8" style="217" customWidth="1"/>
    <col min="1543" max="1797" width="9" style="217"/>
    <col min="1798" max="1798" width="8" style="217" customWidth="1"/>
    <col min="1799" max="2053" width="9" style="217"/>
    <col min="2054" max="2054" width="8" style="217" customWidth="1"/>
    <col min="2055" max="2309" width="9" style="217"/>
    <col min="2310" max="2310" width="8" style="217" customWidth="1"/>
    <col min="2311" max="2565" width="9" style="217"/>
    <col min="2566" max="2566" width="8" style="217" customWidth="1"/>
    <col min="2567" max="2821" width="9" style="217"/>
    <col min="2822" max="2822" width="8" style="217" customWidth="1"/>
    <col min="2823" max="3077" width="9" style="217"/>
    <col min="3078" max="3078" width="8" style="217" customWidth="1"/>
    <col min="3079" max="3333" width="9" style="217"/>
    <col min="3334" max="3334" width="8" style="217" customWidth="1"/>
    <col min="3335" max="3589" width="9" style="217"/>
    <col min="3590" max="3590" width="8" style="217" customWidth="1"/>
    <col min="3591" max="3845" width="9" style="217"/>
    <col min="3846" max="3846" width="8" style="217" customWidth="1"/>
    <col min="3847" max="4101" width="9" style="217"/>
    <col min="4102" max="4102" width="8" style="217" customWidth="1"/>
    <col min="4103" max="4357" width="9" style="217"/>
    <col min="4358" max="4358" width="8" style="217" customWidth="1"/>
    <col min="4359" max="4613" width="9" style="217"/>
    <col min="4614" max="4614" width="8" style="217" customWidth="1"/>
    <col min="4615" max="4869" width="9" style="217"/>
    <col min="4870" max="4870" width="8" style="217" customWidth="1"/>
    <col min="4871" max="5125" width="9" style="217"/>
    <col min="5126" max="5126" width="8" style="217" customWidth="1"/>
    <col min="5127" max="5381" width="9" style="217"/>
    <col min="5382" max="5382" width="8" style="217" customWidth="1"/>
    <col min="5383" max="5637" width="9" style="217"/>
    <col min="5638" max="5638" width="8" style="217" customWidth="1"/>
    <col min="5639" max="5893" width="9" style="217"/>
    <col min="5894" max="5894" width="8" style="217" customWidth="1"/>
    <col min="5895" max="6149" width="9" style="217"/>
    <col min="6150" max="6150" width="8" style="217" customWidth="1"/>
    <col min="6151" max="6405" width="9" style="217"/>
    <col min="6406" max="6406" width="8" style="217" customWidth="1"/>
    <col min="6407" max="6661" width="9" style="217"/>
    <col min="6662" max="6662" width="8" style="217" customWidth="1"/>
    <col min="6663" max="6917" width="9" style="217"/>
    <col min="6918" max="6918" width="8" style="217" customWidth="1"/>
    <col min="6919" max="7173" width="9" style="217"/>
    <col min="7174" max="7174" width="8" style="217" customWidth="1"/>
    <col min="7175" max="7429" width="9" style="217"/>
    <col min="7430" max="7430" width="8" style="217" customWidth="1"/>
    <col min="7431" max="7685" width="9" style="217"/>
    <col min="7686" max="7686" width="8" style="217" customWidth="1"/>
    <col min="7687" max="7941" width="9" style="217"/>
    <col min="7942" max="7942" width="8" style="217" customWidth="1"/>
    <col min="7943" max="8197" width="9" style="217"/>
    <col min="8198" max="8198" width="8" style="217" customWidth="1"/>
    <col min="8199" max="8453" width="9" style="217"/>
    <col min="8454" max="8454" width="8" style="217" customWidth="1"/>
    <col min="8455" max="8709" width="9" style="217"/>
    <col min="8710" max="8710" width="8" style="217" customWidth="1"/>
    <col min="8711" max="8965" width="9" style="217"/>
    <col min="8966" max="8966" width="8" style="217" customWidth="1"/>
    <col min="8967" max="9221" width="9" style="217"/>
    <col min="9222" max="9222" width="8" style="217" customWidth="1"/>
    <col min="9223" max="9477" width="9" style="217"/>
    <col min="9478" max="9478" width="8" style="217" customWidth="1"/>
    <col min="9479" max="9733" width="9" style="217"/>
    <col min="9734" max="9734" width="8" style="217" customWidth="1"/>
    <col min="9735" max="9989" width="9" style="217"/>
    <col min="9990" max="9990" width="8" style="217" customWidth="1"/>
    <col min="9991" max="10245" width="9" style="217"/>
    <col min="10246" max="10246" width="8" style="217" customWidth="1"/>
    <col min="10247" max="10501" width="9" style="217"/>
    <col min="10502" max="10502" width="8" style="217" customWidth="1"/>
    <col min="10503" max="10757" width="9" style="217"/>
    <col min="10758" max="10758" width="8" style="217" customWidth="1"/>
    <col min="10759" max="11013" width="9" style="217"/>
    <col min="11014" max="11014" width="8" style="217" customWidth="1"/>
    <col min="11015" max="11269" width="9" style="217"/>
    <col min="11270" max="11270" width="8" style="217" customWidth="1"/>
    <col min="11271" max="11525" width="9" style="217"/>
    <col min="11526" max="11526" width="8" style="217" customWidth="1"/>
    <col min="11527" max="11781" width="9" style="217"/>
    <col min="11782" max="11782" width="8" style="217" customWidth="1"/>
    <col min="11783" max="12037" width="9" style="217"/>
    <col min="12038" max="12038" width="8" style="217" customWidth="1"/>
    <col min="12039" max="12293" width="9" style="217"/>
    <col min="12294" max="12294" width="8" style="217" customWidth="1"/>
    <col min="12295" max="12549" width="9" style="217"/>
    <col min="12550" max="12550" width="8" style="217" customWidth="1"/>
    <col min="12551" max="12805" width="9" style="217"/>
    <col min="12806" max="12806" width="8" style="217" customWidth="1"/>
    <col min="12807" max="13061" width="9" style="217"/>
    <col min="13062" max="13062" width="8" style="217" customWidth="1"/>
    <col min="13063" max="13317" width="9" style="217"/>
    <col min="13318" max="13318" width="8" style="217" customWidth="1"/>
    <col min="13319" max="13573" width="9" style="217"/>
    <col min="13574" max="13574" width="8" style="217" customWidth="1"/>
    <col min="13575" max="13829" width="9" style="217"/>
    <col min="13830" max="13830" width="8" style="217" customWidth="1"/>
    <col min="13831" max="14085" width="9" style="217"/>
    <col min="14086" max="14086" width="8" style="217" customWidth="1"/>
    <col min="14087" max="14341" width="9" style="217"/>
    <col min="14342" max="14342" width="8" style="217" customWidth="1"/>
    <col min="14343" max="14597" width="9" style="217"/>
    <col min="14598" max="14598" width="8" style="217" customWidth="1"/>
    <col min="14599" max="14853" width="9" style="217"/>
    <col min="14854" max="14854" width="8" style="217" customWidth="1"/>
    <col min="14855" max="15109" width="9" style="217"/>
    <col min="15110" max="15110" width="8" style="217" customWidth="1"/>
    <col min="15111" max="15365" width="9" style="217"/>
    <col min="15366" max="15366" width="8" style="217" customWidth="1"/>
    <col min="15367" max="15621" width="9" style="217"/>
    <col min="15622" max="15622" width="8" style="217" customWidth="1"/>
    <col min="15623" max="15877" width="9" style="217"/>
    <col min="15878" max="15878" width="8" style="217" customWidth="1"/>
    <col min="15879" max="16133" width="9" style="217"/>
    <col min="16134" max="16134" width="8" style="217" customWidth="1"/>
    <col min="16135" max="16384" width="9" style="217"/>
  </cols>
  <sheetData>
    <row r="1" spans="1:32">
      <c r="A1" s="213"/>
      <c r="B1" s="214"/>
      <c r="C1" s="214"/>
      <c r="D1" s="214"/>
      <c r="E1" s="214"/>
      <c r="F1" s="214"/>
      <c r="G1" s="214"/>
      <c r="H1" s="214"/>
      <c r="I1" s="214"/>
      <c r="J1" s="214"/>
      <c r="K1" s="214"/>
      <c r="L1" s="214"/>
      <c r="M1" s="214"/>
      <c r="N1" s="214"/>
      <c r="O1" s="214"/>
      <c r="P1" s="214"/>
      <c r="Q1" s="214"/>
      <c r="R1" s="214"/>
      <c r="S1" s="214"/>
      <c r="T1" s="214"/>
      <c r="U1" s="214"/>
      <c r="V1" s="214"/>
      <c r="W1" s="214"/>
      <c r="X1" s="215"/>
      <c r="Y1" s="215"/>
      <c r="Z1" s="214"/>
      <c r="AA1" s="214"/>
      <c r="AB1" s="216"/>
    </row>
    <row r="2" spans="1:32" ht="16.5" customHeight="1">
      <c r="A2" s="117"/>
      <c r="B2" s="160"/>
      <c r="C2" s="160"/>
      <c r="D2" s="160"/>
      <c r="E2" s="160"/>
      <c r="F2" s="160"/>
      <c r="G2" s="160"/>
      <c r="H2" s="160"/>
      <c r="I2" s="160"/>
      <c r="J2" s="160"/>
      <c r="K2" s="160"/>
      <c r="L2" s="160"/>
      <c r="M2" s="160"/>
      <c r="N2" s="160"/>
      <c r="O2" s="160"/>
      <c r="P2" s="160"/>
      <c r="Q2" s="160"/>
      <c r="R2" s="160"/>
      <c r="S2" s="160"/>
      <c r="T2" s="160"/>
      <c r="U2" s="160"/>
      <c r="V2" s="160"/>
      <c r="W2" s="218"/>
      <c r="X2" s="863" t="s">
        <v>6</v>
      </c>
      <c r="Y2" s="864"/>
      <c r="Z2" s="760" t="str">
        <f>Cover!$F$18</f>
        <v>ELM-803-FS-0001</v>
      </c>
      <c r="AA2" s="761"/>
      <c r="AB2" s="218"/>
    </row>
    <row r="3" spans="1:32" ht="16.5" customHeight="1">
      <c r="A3" s="117"/>
      <c r="B3" s="160"/>
      <c r="C3" s="160"/>
      <c r="D3" s="160"/>
      <c r="E3" s="160"/>
      <c r="F3" s="160"/>
      <c r="G3" s="160"/>
      <c r="H3" s="160"/>
      <c r="I3" s="160"/>
      <c r="J3" s="160"/>
      <c r="K3" s="160"/>
      <c r="L3" s="160"/>
      <c r="M3" s="160"/>
      <c r="N3" s="160"/>
      <c r="O3" s="160"/>
      <c r="P3" s="160"/>
      <c r="Q3" s="160"/>
      <c r="R3" s="160"/>
      <c r="S3" s="160"/>
      <c r="T3" s="160"/>
      <c r="U3" s="160"/>
      <c r="V3" s="160"/>
      <c r="W3" s="218"/>
      <c r="X3" s="865" t="s">
        <v>7</v>
      </c>
      <c r="Y3" s="819"/>
      <c r="Z3" s="15" t="str">
        <f>Cover!$F$19</f>
        <v>Safety Manager</v>
      </c>
      <c r="AA3" s="40" t="str">
        <f>Cover!$G$19</f>
        <v>I. Kök</v>
      </c>
      <c r="AB3" s="218"/>
    </row>
    <row r="4" spans="1:32" ht="16.5" customHeight="1">
      <c r="A4" s="117"/>
      <c r="B4" s="160"/>
      <c r="C4" s="160"/>
      <c r="D4" s="160"/>
      <c r="E4" s="160"/>
      <c r="F4" s="160"/>
      <c r="G4" s="160"/>
      <c r="H4" s="160"/>
      <c r="I4" s="160"/>
      <c r="J4" s="160"/>
      <c r="K4" s="160"/>
      <c r="L4" s="160"/>
      <c r="M4" s="160"/>
      <c r="N4" s="160"/>
      <c r="O4" s="160"/>
      <c r="P4" s="160"/>
      <c r="Q4" s="160"/>
      <c r="R4" s="160"/>
      <c r="S4" s="160"/>
      <c r="T4" s="160"/>
      <c r="U4" s="160"/>
      <c r="V4" s="160"/>
      <c r="W4" s="218"/>
      <c r="X4" s="865" t="s">
        <v>8</v>
      </c>
      <c r="Y4" s="819"/>
      <c r="Z4" s="762" t="str">
        <f>Cover!$F$20</f>
        <v>B2</v>
      </c>
      <c r="AA4" s="763"/>
      <c r="AB4" s="218"/>
    </row>
    <row r="5" spans="1:32" ht="16.5" customHeight="1">
      <c r="A5" s="117"/>
      <c r="B5" s="160"/>
      <c r="C5" s="160"/>
      <c r="D5" s="160"/>
      <c r="E5" s="160"/>
      <c r="F5" s="160"/>
      <c r="G5" s="160"/>
      <c r="H5" s="160"/>
      <c r="I5" s="160"/>
      <c r="J5" s="160"/>
      <c r="K5" s="160"/>
      <c r="L5" s="160"/>
      <c r="M5" s="160"/>
      <c r="N5" s="160"/>
      <c r="O5" s="160"/>
      <c r="P5" s="160"/>
      <c r="Q5" s="160"/>
      <c r="R5" s="160"/>
      <c r="S5" s="160"/>
      <c r="T5" s="160"/>
      <c r="U5" s="160"/>
      <c r="V5" s="160"/>
      <c r="W5" s="218"/>
      <c r="X5" s="866" t="s">
        <v>9</v>
      </c>
      <c r="Y5" s="867"/>
      <c r="Z5" s="764" t="str">
        <f>Cover!$F$21</f>
        <v>approved after review</v>
      </c>
      <c r="AA5" s="765"/>
      <c r="AB5" s="218"/>
    </row>
    <row r="6" spans="1:32">
      <c r="A6" s="117"/>
      <c r="B6" s="160"/>
      <c r="C6" s="160"/>
      <c r="D6" s="160"/>
      <c r="E6" s="160"/>
      <c r="F6" s="160"/>
      <c r="G6" s="160"/>
      <c r="H6" s="160"/>
      <c r="I6" s="160"/>
      <c r="J6" s="160"/>
      <c r="K6" s="160"/>
      <c r="L6" s="160"/>
      <c r="M6" s="160"/>
      <c r="N6" s="160"/>
      <c r="O6" s="160"/>
      <c r="P6" s="160"/>
      <c r="Q6" s="160"/>
      <c r="R6" s="160"/>
      <c r="S6" s="160"/>
      <c r="T6" s="160"/>
      <c r="U6" s="160"/>
      <c r="V6" s="160"/>
      <c r="W6" s="160"/>
      <c r="X6" s="214"/>
      <c r="Y6" s="214"/>
      <c r="Z6" s="160"/>
      <c r="AA6" s="160"/>
      <c r="AB6" s="218"/>
    </row>
    <row r="7" spans="1:32">
      <c r="A7" s="117"/>
      <c r="B7" s="160"/>
      <c r="C7" s="160"/>
      <c r="D7" s="160"/>
      <c r="E7" s="160"/>
      <c r="F7" s="160"/>
      <c r="G7" s="160"/>
      <c r="H7" s="160"/>
      <c r="I7" s="160"/>
      <c r="J7" s="160"/>
      <c r="K7" s="160"/>
      <c r="L7" s="160"/>
      <c r="M7" s="160"/>
      <c r="N7" s="160"/>
      <c r="O7" s="160"/>
      <c r="P7" s="160"/>
      <c r="Q7" s="160"/>
      <c r="R7" s="160"/>
      <c r="S7" s="160"/>
      <c r="T7" s="160"/>
      <c r="U7" s="160"/>
      <c r="V7" s="160"/>
      <c r="W7" s="160"/>
      <c r="X7" s="160"/>
      <c r="Y7" s="160"/>
      <c r="Z7" s="160"/>
      <c r="AA7" s="160"/>
      <c r="AB7" s="218"/>
    </row>
    <row r="8" spans="1:32" s="125" customFormat="1" ht="36.75" customHeight="1">
      <c r="A8" s="862" t="str">
        <f>Cover!A7</f>
        <v>FMEDA</v>
      </c>
      <c r="B8" s="862"/>
      <c r="C8" s="862"/>
      <c r="D8" s="862"/>
      <c r="E8" s="862"/>
      <c r="F8" s="862"/>
      <c r="G8" s="862"/>
      <c r="H8" s="862"/>
      <c r="I8" s="862"/>
      <c r="J8" s="862"/>
      <c r="K8" s="862"/>
      <c r="L8" s="862"/>
      <c r="M8" s="862"/>
      <c r="N8" s="862"/>
      <c r="O8" s="862"/>
      <c r="P8" s="862"/>
      <c r="Q8" s="862"/>
      <c r="R8" s="862"/>
      <c r="S8" s="862"/>
      <c r="T8" s="862"/>
      <c r="U8" s="862"/>
      <c r="V8" s="862"/>
      <c r="W8" s="862"/>
      <c r="X8" s="862"/>
      <c r="Y8" s="862"/>
      <c r="Z8" s="862"/>
      <c r="AA8" s="862"/>
      <c r="AB8" s="862"/>
      <c r="AD8" s="148"/>
      <c r="AE8" s="148"/>
      <c r="AF8" s="148"/>
    </row>
    <row r="9" spans="1:32" s="125" customFormat="1" ht="13.5" customHeight="1">
      <c r="A9" s="219"/>
      <c r="B9" s="45"/>
      <c r="C9" s="45"/>
      <c r="D9" s="45"/>
      <c r="E9" s="45"/>
      <c r="F9" s="45"/>
      <c r="G9" s="45"/>
      <c r="H9" s="45"/>
      <c r="I9" s="46"/>
      <c r="J9" s="46"/>
      <c r="K9" s="46"/>
      <c r="L9" s="46"/>
      <c r="M9" s="46"/>
      <c r="N9" s="46"/>
      <c r="O9" s="46"/>
      <c r="P9" s="46"/>
      <c r="Q9" s="46"/>
      <c r="R9" s="44"/>
      <c r="S9" s="46"/>
      <c r="T9" s="46"/>
      <c r="U9" s="46"/>
      <c r="V9" s="46"/>
      <c r="W9" s="46"/>
      <c r="X9" s="44"/>
      <c r="Y9" s="46"/>
      <c r="Z9" s="46"/>
      <c r="AA9" s="46"/>
      <c r="AB9" s="47"/>
      <c r="AD9" s="148"/>
      <c r="AE9" s="148"/>
      <c r="AF9" s="148"/>
    </row>
    <row r="10" spans="1:32" s="125" customFormat="1" ht="30" customHeight="1">
      <c r="A10" s="859" t="str">
        <f>Cover!A9</f>
        <v>ID803 - Vega</v>
      </c>
      <c r="B10" s="860"/>
      <c r="C10" s="860"/>
      <c r="D10" s="860"/>
      <c r="E10" s="860"/>
      <c r="F10" s="860"/>
      <c r="G10" s="860"/>
      <c r="H10" s="860"/>
      <c r="I10" s="860"/>
      <c r="J10" s="860"/>
      <c r="K10" s="860"/>
      <c r="L10" s="860"/>
      <c r="M10" s="860"/>
      <c r="N10" s="860"/>
      <c r="O10" s="860"/>
      <c r="P10" s="860"/>
      <c r="Q10" s="860"/>
      <c r="R10" s="860"/>
      <c r="S10" s="860"/>
      <c r="T10" s="860"/>
      <c r="U10" s="860"/>
      <c r="V10" s="860"/>
      <c r="W10" s="860"/>
      <c r="X10" s="860"/>
      <c r="Y10" s="860"/>
      <c r="Z10" s="860"/>
      <c r="AA10" s="860"/>
      <c r="AB10" s="861"/>
      <c r="AD10" s="148"/>
      <c r="AE10" s="148"/>
      <c r="AF10" s="148"/>
    </row>
    <row r="11" spans="1:32">
      <c r="A11" s="213"/>
      <c r="B11" s="214"/>
      <c r="C11" s="214"/>
      <c r="D11" s="214"/>
      <c r="E11" s="214"/>
      <c r="F11" s="214"/>
      <c r="G11" s="214"/>
      <c r="H11" s="214"/>
      <c r="I11" s="214"/>
      <c r="J11" s="214"/>
      <c r="K11" s="214"/>
      <c r="L11" s="214"/>
      <c r="M11" s="214"/>
      <c r="N11" s="214"/>
      <c r="O11" s="214"/>
      <c r="P11" s="214"/>
      <c r="Q11" s="214"/>
      <c r="R11" s="214"/>
      <c r="S11" s="214"/>
      <c r="T11" s="214"/>
      <c r="U11" s="214"/>
      <c r="V11" s="214"/>
      <c r="W11" s="214"/>
      <c r="X11" s="214"/>
      <c r="Y11" s="214"/>
      <c r="Z11" s="214"/>
      <c r="AA11" s="216"/>
      <c r="AB11" s="214"/>
    </row>
    <row r="12" spans="1:32" ht="24">
      <c r="A12" s="117"/>
      <c r="B12" s="220" t="s">
        <v>93</v>
      </c>
      <c r="C12" s="160"/>
      <c r="D12" s="160"/>
      <c r="E12" s="160"/>
      <c r="F12" s="160"/>
      <c r="G12" s="160"/>
      <c r="H12" s="160"/>
      <c r="I12" s="160"/>
      <c r="J12" s="160"/>
      <c r="K12" s="160"/>
      <c r="L12" s="160"/>
      <c r="M12" s="160"/>
      <c r="N12" s="160"/>
      <c r="O12" s="160"/>
      <c r="P12" s="160"/>
      <c r="Q12" s="160"/>
      <c r="R12" s="160"/>
      <c r="S12" s="160"/>
      <c r="T12" s="160"/>
      <c r="U12" s="160"/>
      <c r="V12" s="160"/>
      <c r="W12" s="160"/>
      <c r="X12" s="160"/>
      <c r="Y12" s="160"/>
      <c r="Z12" s="160"/>
      <c r="AA12" s="218"/>
      <c r="AB12" s="160"/>
    </row>
    <row r="13" spans="1:32">
      <c r="A13" s="117"/>
      <c r="B13" s="160"/>
      <c r="C13" s="160"/>
      <c r="D13" s="160"/>
      <c r="E13" s="160"/>
      <c r="F13" s="160"/>
      <c r="G13" s="160"/>
      <c r="H13" s="160"/>
      <c r="I13" s="160"/>
      <c r="J13" s="160"/>
      <c r="K13" s="160"/>
      <c r="L13" s="160"/>
      <c r="M13" s="160"/>
      <c r="N13" s="160"/>
      <c r="O13" s="160"/>
      <c r="P13" s="160"/>
      <c r="Q13" s="160"/>
      <c r="R13" s="160"/>
      <c r="S13" s="160"/>
      <c r="T13" s="160"/>
      <c r="U13" s="160"/>
      <c r="V13" s="160"/>
      <c r="W13" s="160"/>
      <c r="X13" s="160"/>
      <c r="Y13" s="160"/>
      <c r="Z13" s="160"/>
      <c r="AA13" s="218"/>
      <c r="AB13" s="160"/>
    </row>
    <row r="14" spans="1:32">
      <c r="A14" s="117"/>
      <c r="B14" s="160"/>
      <c r="C14" s="160"/>
      <c r="D14" s="160"/>
      <c r="E14" s="160"/>
      <c r="F14" s="160"/>
      <c r="G14" s="160"/>
      <c r="H14" s="160"/>
      <c r="I14" s="160"/>
      <c r="J14" s="160"/>
      <c r="K14" s="160"/>
      <c r="L14" s="160"/>
      <c r="M14" s="160"/>
      <c r="N14" s="160"/>
      <c r="O14" s="160"/>
      <c r="P14" s="160"/>
      <c r="Q14" s="160"/>
      <c r="R14" s="160"/>
      <c r="S14" s="160"/>
      <c r="T14" s="160"/>
      <c r="U14" s="160"/>
      <c r="V14" s="160"/>
      <c r="W14" s="160"/>
      <c r="X14" s="160"/>
      <c r="Y14" s="160"/>
      <c r="Z14" s="160"/>
      <c r="AA14" s="218"/>
      <c r="AB14" s="160"/>
    </row>
    <row r="15" spans="1:32" ht="15.75">
      <c r="A15" s="117"/>
      <c r="B15" s="160"/>
      <c r="C15" s="160"/>
      <c r="D15" s="160"/>
      <c r="E15" s="160"/>
      <c r="F15" s="160"/>
      <c r="G15" s="160"/>
      <c r="H15" s="160"/>
      <c r="I15" s="160"/>
      <c r="J15" s="160"/>
      <c r="K15" s="160"/>
      <c r="L15" s="160"/>
      <c r="M15" s="160"/>
      <c r="N15" s="160"/>
      <c r="O15" s="160"/>
      <c r="P15" s="160"/>
      <c r="Q15" s="160"/>
      <c r="R15" s="221" t="s">
        <v>85</v>
      </c>
      <c r="S15" s="222" t="s">
        <v>75</v>
      </c>
      <c r="T15" s="160"/>
      <c r="U15" s="160"/>
      <c r="V15" s="160"/>
      <c r="W15" s="160"/>
      <c r="X15" s="160"/>
      <c r="Y15" s="160"/>
      <c r="Z15" s="160"/>
      <c r="AA15" s="218"/>
      <c r="AB15" s="160"/>
    </row>
    <row r="16" spans="1:32" ht="15.75">
      <c r="A16" s="117"/>
      <c r="B16" s="160"/>
      <c r="C16" s="160"/>
      <c r="D16" s="160"/>
      <c r="E16" s="160"/>
      <c r="F16" s="160"/>
      <c r="G16" s="160"/>
      <c r="H16" s="160"/>
      <c r="I16" s="160"/>
      <c r="J16" s="160"/>
      <c r="K16" s="160"/>
      <c r="L16" s="160"/>
      <c r="M16" s="160"/>
      <c r="N16" s="160"/>
      <c r="O16" s="160"/>
      <c r="P16" s="160"/>
      <c r="Q16" s="160"/>
      <c r="R16" s="221" t="s">
        <v>76</v>
      </c>
      <c r="S16" s="222" t="s">
        <v>77</v>
      </c>
      <c r="T16" s="160"/>
      <c r="U16" s="160"/>
      <c r="V16" s="160"/>
      <c r="W16" s="160"/>
      <c r="X16" s="160"/>
      <c r="Y16" s="160"/>
      <c r="Z16" s="160"/>
      <c r="AA16" s="218"/>
      <c r="AB16" s="160"/>
    </row>
    <row r="17" spans="1:28" ht="15.75">
      <c r="A17" s="117"/>
      <c r="B17" s="160"/>
      <c r="C17" s="160"/>
      <c r="D17" s="160"/>
      <c r="E17" s="160"/>
      <c r="F17" s="160"/>
      <c r="G17" s="160"/>
      <c r="H17" s="160"/>
      <c r="I17" s="160"/>
      <c r="J17" s="160"/>
      <c r="K17" s="160"/>
      <c r="L17" s="160"/>
      <c r="M17" s="160"/>
      <c r="N17" s="160"/>
      <c r="O17" s="160"/>
      <c r="P17" s="160"/>
      <c r="Q17" s="160"/>
      <c r="R17" s="221" t="s">
        <v>78</v>
      </c>
      <c r="S17" s="222" t="s">
        <v>79</v>
      </c>
      <c r="T17" s="160"/>
      <c r="U17" s="160"/>
      <c r="V17" s="160"/>
      <c r="W17" s="160"/>
      <c r="X17" s="160"/>
      <c r="Y17" s="160"/>
      <c r="Z17" s="160"/>
      <c r="AA17" s="218"/>
      <c r="AB17" s="160"/>
    </row>
    <row r="18" spans="1:28" ht="15.75">
      <c r="A18" s="117"/>
      <c r="B18" s="160"/>
      <c r="C18" s="160"/>
      <c r="D18" s="160"/>
      <c r="E18" s="160"/>
      <c r="F18" s="160"/>
      <c r="G18" s="160"/>
      <c r="H18" s="160"/>
      <c r="I18" s="160"/>
      <c r="J18" s="160"/>
      <c r="K18" s="160"/>
      <c r="L18" s="160"/>
      <c r="M18" s="160"/>
      <c r="N18" s="160"/>
      <c r="O18" s="160"/>
      <c r="P18" s="160"/>
      <c r="Q18" s="160"/>
      <c r="R18" s="221" t="s">
        <v>94</v>
      </c>
      <c r="S18" s="222" t="s">
        <v>95</v>
      </c>
      <c r="T18" s="160"/>
      <c r="U18" s="160"/>
      <c r="V18" s="160"/>
      <c r="W18" s="160"/>
      <c r="X18" s="160"/>
      <c r="Y18" s="160"/>
      <c r="Z18" s="160"/>
      <c r="AA18" s="218"/>
      <c r="AB18" s="160"/>
    </row>
    <row r="19" spans="1:28" ht="15.75">
      <c r="A19" s="117"/>
      <c r="B19" s="160"/>
      <c r="C19" s="160"/>
      <c r="D19" s="160"/>
      <c r="E19" s="160"/>
      <c r="F19" s="160"/>
      <c r="G19" s="160"/>
      <c r="H19" s="160"/>
      <c r="I19" s="160"/>
      <c r="J19" s="160"/>
      <c r="K19" s="160"/>
      <c r="L19" s="160"/>
      <c r="M19" s="160"/>
      <c r="N19" s="160"/>
      <c r="O19" s="160"/>
      <c r="P19" s="160"/>
      <c r="Q19" s="160"/>
      <c r="R19" s="221" t="s">
        <v>80</v>
      </c>
      <c r="S19" s="222" t="s">
        <v>81</v>
      </c>
      <c r="T19" s="160"/>
      <c r="U19" s="160"/>
      <c r="V19" s="160"/>
      <c r="W19" s="160"/>
      <c r="X19" s="160"/>
      <c r="Y19" s="160"/>
      <c r="Z19" s="160"/>
      <c r="AA19" s="218"/>
      <c r="AB19" s="160"/>
    </row>
    <row r="20" spans="1:28" ht="15.75">
      <c r="A20" s="117"/>
      <c r="B20" s="160"/>
      <c r="C20" s="160"/>
      <c r="D20" s="160"/>
      <c r="E20" s="160"/>
      <c r="F20" s="160"/>
      <c r="G20" s="160"/>
      <c r="H20" s="160"/>
      <c r="I20" s="160"/>
      <c r="J20" s="160"/>
      <c r="K20" s="160"/>
      <c r="L20" s="160"/>
      <c r="M20" s="160"/>
      <c r="N20" s="160"/>
      <c r="O20" s="160"/>
      <c r="P20" s="160"/>
      <c r="Q20" s="160"/>
      <c r="R20" s="221" t="s">
        <v>82</v>
      </c>
      <c r="S20" s="222" t="s">
        <v>83</v>
      </c>
      <c r="T20" s="160"/>
      <c r="U20" s="160"/>
      <c r="V20" s="160"/>
      <c r="W20" s="160"/>
      <c r="X20" s="160"/>
      <c r="Y20" s="160"/>
      <c r="Z20" s="160"/>
      <c r="AA20" s="218"/>
      <c r="AB20" s="160"/>
    </row>
    <row r="21" spans="1:28" ht="15.75">
      <c r="A21" s="117"/>
      <c r="B21" s="160"/>
      <c r="C21" s="160"/>
      <c r="D21" s="160"/>
      <c r="E21" s="160"/>
      <c r="F21" s="160"/>
      <c r="G21" s="160"/>
      <c r="H21" s="160"/>
      <c r="I21" s="160"/>
      <c r="J21" s="160"/>
      <c r="K21" s="160"/>
      <c r="L21" s="160"/>
      <c r="M21" s="160"/>
      <c r="N21" s="160"/>
      <c r="O21" s="160"/>
      <c r="P21" s="160"/>
      <c r="Q21" s="160"/>
      <c r="R21" s="221" t="s">
        <v>84</v>
      </c>
      <c r="S21" s="222" t="s">
        <v>1078</v>
      </c>
      <c r="T21" s="160"/>
      <c r="U21" s="160"/>
      <c r="V21" s="160"/>
      <c r="W21" s="160"/>
      <c r="X21" s="160"/>
      <c r="Y21" s="160"/>
      <c r="Z21" s="160"/>
      <c r="AA21" s="218"/>
      <c r="AB21" s="160"/>
    </row>
    <row r="22" spans="1:28" ht="15.75">
      <c r="A22" s="117"/>
      <c r="B22" s="160"/>
      <c r="C22" s="160"/>
      <c r="D22" s="160"/>
      <c r="E22" s="160"/>
      <c r="F22" s="160"/>
      <c r="G22" s="160"/>
      <c r="H22" s="160"/>
      <c r="I22" s="160"/>
      <c r="J22" s="160"/>
      <c r="K22" s="160"/>
      <c r="L22" s="160"/>
      <c r="M22" s="160"/>
      <c r="N22" s="160"/>
      <c r="O22" s="160"/>
      <c r="P22" s="160"/>
      <c r="Q22" s="160"/>
      <c r="R22" s="221" t="s">
        <v>1079</v>
      </c>
      <c r="S22" s="222" t="s">
        <v>1080</v>
      </c>
      <c r="T22" s="160"/>
      <c r="U22" s="160"/>
      <c r="V22" s="160"/>
      <c r="W22" s="160"/>
      <c r="X22" s="160"/>
      <c r="Y22" s="160"/>
      <c r="Z22" s="160"/>
      <c r="AA22" s="218"/>
      <c r="AB22" s="160"/>
    </row>
    <row r="23" spans="1:28">
      <c r="A23" s="117"/>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218"/>
      <c r="AB23" s="160"/>
    </row>
    <row r="24" spans="1:28">
      <c r="A24" s="117"/>
      <c r="B24" s="160"/>
      <c r="C24" s="160"/>
      <c r="D24" s="160"/>
      <c r="E24" s="160"/>
      <c r="F24" s="160"/>
      <c r="G24" s="160"/>
      <c r="H24" s="160"/>
      <c r="I24" s="160"/>
      <c r="J24" s="160"/>
      <c r="K24" s="160"/>
      <c r="L24" s="160"/>
      <c r="M24" s="160"/>
      <c r="N24" s="160"/>
      <c r="O24" s="160"/>
      <c r="P24" s="160"/>
      <c r="Q24" s="160"/>
      <c r="R24" s="160"/>
      <c r="S24" s="160"/>
      <c r="T24" s="160"/>
      <c r="U24" s="160"/>
      <c r="V24" s="160"/>
      <c r="W24" s="160"/>
      <c r="X24" s="160"/>
      <c r="Y24" s="160"/>
      <c r="Z24" s="160"/>
      <c r="AA24" s="218"/>
      <c r="AB24" s="160"/>
    </row>
    <row r="25" spans="1:28" ht="14.25" thickBot="1">
      <c r="A25" s="117"/>
      <c r="B25" s="160"/>
      <c r="C25" s="160"/>
      <c r="D25" s="160"/>
      <c r="E25" s="160"/>
      <c r="F25" s="160"/>
      <c r="G25" s="160"/>
      <c r="H25" s="160"/>
      <c r="I25" s="160"/>
      <c r="J25" s="160"/>
      <c r="K25" s="160"/>
      <c r="L25" s="160"/>
      <c r="M25" s="160"/>
      <c r="N25" s="160"/>
      <c r="O25" s="160"/>
      <c r="P25" s="160"/>
      <c r="Q25" s="160"/>
      <c r="R25" s="162"/>
      <c r="S25" s="162"/>
      <c r="T25" s="162"/>
      <c r="U25" s="162"/>
      <c r="V25" s="160"/>
      <c r="W25" s="160"/>
      <c r="X25" s="160"/>
      <c r="Y25" s="160"/>
      <c r="Z25" s="160"/>
      <c r="AA25" s="218"/>
      <c r="AB25" s="160"/>
    </row>
    <row r="26" spans="1:28">
      <c r="A26" s="117"/>
      <c r="B26" s="160"/>
      <c r="C26" s="160"/>
      <c r="D26" s="160"/>
      <c r="E26" s="160"/>
      <c r="F26" s="160"/>
      <c r="G26" s="160"/>
      <c r="H26" s="160"/>
      <c r="I26" s="160"/>
      <c r="J26" s="160"/>
      <c r="K26" s="160"/>
      <c r="L26" s="160"/>
      <c r="M26" s="160"/>
      <c r="N26" s="160"/>
      <c r="O26" s="160"/>
      <c r="P26" s="160"/>
      <c r="Q26" s="218"/>
      <c r="R26" s="223" t="str">
        <f>C149</f>
        <v>■ Die FIT rate (①X②)</v>
      </c>
      <c r="S26" s="224"/>
      <c r="T26" s="415">
        <f>E149</f>
        <v>6.3327874313904076</v>
      </c>
      <c r="U26" s="225" t="str">
        <f>F149</f>
        <v>FIT</v>
      </c>
      <c r="V26" s="117"/>
      <c r="W26" s="160"/>
      <c r="X26" s="160"/>
      <c r="Y26" s="160"/>
      <c r="Z26" s="160"/>
      <c r="AA26" s="218"/>
      <c r="AB26" s="160"/>
    </row>
    <row r="27" spans="1:28">
      <c r="A27" s="117"/>
      <c r="B27" s="160"/>
      <c r="C27" s="160"/>
      <c r="D27" s="160"/>
      <c r="E27" s="160"/>
      <c r="F27" s="160"/>
      <c r="G27" s="160"/>
      <c r="H27" s="160"/>
      <c r="I27" s="160"/>
      <c r="J27" s="160"/>
      <c r="K27" s="160"/>
      <c r="L27" s="160"/>
      <c r="M27" s="160"/>
      <c r="N27" s="160"/>
      <c r="O27" s="160"/>
      <c r="P27" s="160"/>
      <c r="Q27" s="218"/>
      <c r="R27" s="226" t="str">
        <f>C200</f>
        <v xml:space="preserve">■ PKG FIT rate </v>
      </c>
      <c r="S27" s="227"/>
      <c r="T27" s="228">
        <f>E200</f>
        <v>73.243731581992805</v>
      </c>
      <c r="U27" s="229" t="str">
        <f>F200</f>
        <v>FIT</v>
      </c>
      <c r="V27" s="117"/>
      <c r="W27" s="160"/>
      <c r="X27" s="160"/>
      <c r="Y27" s="160"/>
      <c r="Z27" s="160"/>
      <c r="AA27" s="218"/>
      <c r="AB27" s="160"/>
    </row>
    <row r="28" spans="1:28" ht="14.25" thickBot="1">
      <c r="A28" s="117"/>
      <c r="B28" s="160"/>
      <c r="C28" s="160"/>
      <c r="D28" s="160"/>
      <c r="E28" s="160"/>
      <c r="F28" s="160"/>
      <c r="G28" s="160"/>
      <c r="H28" s="160"/>
      <c r="I28" s="160"/>
      <c r="J28" s="160"/>
      <c r="K28" s="160"/>
      <c r="L28" s="160"/>
      <c r="M28" s="160"/>
      <c r="N28" s="160"/>
      <c r="O28" s="160"/>
      <c r="P28" s="160"/>
      <c r="Q28" s="218"/>
      <c r="R28" s="230" t="str">
        <f>B202</f>
        <v xml:space="preserve">■ IC Total FIT rate </v>
      </c>
      <c r="S28" s="231"/>
      <c r="T28" s="232">
        <f>E202</f>
        <v>79.576519013383205</v>
      </c>
      <c r="U28" s="233" t="str">
        <f>F202</f>
        <v>FIT</v>
      </c>
      <c r="V28" s="117"/>
      <c r="W28" s="160"/>
      <c r="X28" s="160"/>
      <c r="Y28" s="160"/>
      <c r="Z28" s="160"/>
      <c r="AA28" s="218"/>
      <c r="AB28" s="160"/>
    </row>
    <row r="29" spans="1:28">
      <c r="A29" s="117"/>
      <c r="B29" s="159"/>
      <c r="C29" s="160" t="s">
        <v>621</v>
      </c>
      <c r="D29" s="160"/>
      <c r="E29" s="160"/>
      <c r="F29" s="160"/>
      <c r="G29" s="160"/>
      <c r="H29" s="160"/>
      <c r="I29" s="160"/>
      <c r="J29" s="160"/>
      <c r="K29" s="160"/>
      <c r="L29" s="160"/>
      <c r="M29" s="160"/>
      <c r="N29" s="160"/>
      <c r="O29" s="160"/>
      <c r="P29" s="160"/>
      <c r="Q29" s="160"/>
      <c r="R29" s="214"/>
      <c r="S29" s="214"/>
      <c r="T29" s="214"/>
      <c r="U29" s="214"/>
      <c r="V29" s="160"/>
      <c r="W29" s="160"/>
      <c r="X29" s="160"/>
      <c r="Y29" s="160"/>
      <c r="Z29" s="160"/>
      <c r="AA29" s="218"/>
      <c r="AB29" s="160"/>
    </row>
    <row r="30" spans="1:28">
      <c r="A30" s="234"/>
      <c r="B30" s="161"/>
      <c r="C30" s="162" t="s">
        <v>622</v>
      </c>
      <c r="D30" s="162"/>
      <c r="E30" s="162"/>
      <c r="F30" s="162"/>
      <c r="G30" s="162"/>
      <c r="H30" s="162"/>
      <c r="I30" s="162"/>
      <c r="J30" s="162"/>
      <c r="K30" s="162"/>
      <c r="L30" s="162"/>
      <c r="M30" s="162"/>
      <c r="N30" s="162"/>
      <c r="O30" s="162"/>
      <c r="P30" s="162"/>
      <c r="Q30" s="162"/>
      <c r="R30" s="162"/>
      <c r="S30" s="162"/>
      <c r="T30" s="162"/>
      <c r="U30" s="162"/>
      <c r="V30" s="162"/>
      <c r="W30" s="162"/>
      <c r="X30" s="162"/>
      <c r="Y30" s="162"/>
      <c r="Z30" s="162"/>
      <c r="AA30" s="235"/>
      <c r="AB30" s="162"/>
    </row>
    <row r="31" spans="1:28">
      <c r="A31" s="858"/>
      <c r="B31" s="858"/>
      <c r="C31" s="858"/>
      <c r="D31" s="858"/>
      <c r="E31" s="858"/>
      <c r="F31" s="858"/>
      <c r="G31" s="858"/>
      <c r="H31" s="858"/>
      <c r="I31" s="858"/>
      <c r="J31" s="858"/>
      <c r="K31" s="858"/>
      <c r="L31" s="858"/>
      <c r="M31" s="858"/>
      <c r="N31" s="858"/>
      <c r="O31" s="858"/>
      <c r="P31" s="858"/>
      <c r="Q31" s="858"/>
      <c r="R31" s="858"/>
      <c r="S31" s="858"/>
      <c r="T31" s="858"/>
      <c r="U31" s="858"/>
      <c r="V31" s="858"/>
      <c r="W31" s="858"/>
      <c r="X31" s="858"/>
      <c r="Y31" s="858"/>
      <c r="Z31" s="858"/>
      <c r="AA31" s="858"/>
      <c r="AB31" s="858"/>
    </row>
    <row r="32" spans="1:28">
      <c r="A32" s="213"/>
      <c r="B32" s="215"/>
      <c r="C32" s="215"/>
      <c r="D32" s="215"/>
      <c r="E32" s="215"/>
      <c r="F32" s="215"/>
      <c r="G32" s="215"/>
      <c r="H32" s="215"/>
      <c r="I32" s="215"/>
      <c r="J32" s="215"/>
      <c r="K32" s="215"/>
      <c r="L32" s="215"/>
      <c r="M32" s="215"/>
      <c r="N32" s="215"/>
      <c r="O32" s="215"/>
      <c r="P32" s="215"/>
      <c r="Q32" s="215"/>
      <c r="R32" s="215"/>
      <c r="S32" s="215"/>
      <c r="T32" s="215"/>
      <c r="U32" s="215"/>
      <c r="V32" s="215"/>
      <c r="W32" s="215"/>
      <c r="X32" s="215"/>
      <c r="Y32" s="215"/>
      <c r="Z32" s="215"/>
      <c r="AA32" s="215"/>
      <c r="AB32" s="216"/>
    </row>
    <row r="33" spans="1:28">
      <c r="A33" s="236"/>
      <c r="B33" s="237"/>
      <c r="C33" s="238"/>
      <c r="D33" s="239"/>
      <c r="E33" s="239"/>
      <c r="F33" s="239"/>
      <c r="G33" s="239"/>
      <c r="H33" s="239"/>
      <c r="I33" s="239"/>
      <c r="J33" s="239"/>
      <c r="K33" s="239"/>
      <c r="L33" s="239"/>
      <c r="M33" s="239"/>
      <c r="N33" s="239"/>
      <c r="O33" s="239"/>
      <c r="P33" s="239"/>
      <c r="Q33" s="239"/>
      <c r="R33" s="239"/>
      <c r="S33" s="239"/>
      <c r="T33" s="239"/>
      <c r="U33" s="239"/>
      <c r="V33" s="239"/>
      <c r="W33" s="239"/>
      <c r="X33" s="239"/>
      <c r="Y33" s="239"/>
      <c r="Z33" s="239"/>
      <c r="AA33" s="240"/>
      <c r="AB33" s="236"/>
    </row>
    <row r="34" spans="1:28" ht="15.75">
      <c r="A34" s="236"/>
      <c r="B34" s="241"/>
      <c r="C34" s="242" t="s">
        <v>524</v>
      </c>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243"/>
      <c r="AB34" s="236"/>
    </row>
    <row r="35" spans="1:28" ht="14.25" thickBot="1">
      <c r="A35" s="236"/>
      <c r="B35" s="241"/>
      <c r="C35" s="117"/>
      <c r="D35" s="160"/>
      <c r="E35" s="162"/>
      <c r="F35" s="162"/>
      <c r="G35" s="160"/>
      <c r="H35" s="160"/>
      <c r="I35" s="160"/>
      <c r="J35" s="160"/>
      <c r="K35" s="160"/>
      <c r="L35" s="160"/>
      <c r="M35" s="160"/>
      <c r="N35" s="160"/>
      <c r="O35" s="160"/>
      <c r="P35" s="160"/>
      <c r="Q35" s="160"/>
      <c r="R35" s="160"/>
      <c r="S35" s="160"/>
      <c r="T35" s="160"/>
      <c r="U35" s="160"/>
      <c r="V35" s="160"/>
      <c r="W35" s="160"/>
      <c r="X35" s="160"/>
      <c r="Y35" s="160"/>
      <c r="Z35" s="160"/>
      <c r="AA35" s="243"/>
      <c r="AB35" s="236"/>
    </row>
    <row r="36" spans="1:28" ht="15.75" customHeight="1">
      <c r="A36" s="236"/>
      <c r="B36" s="241"/>
      <c r="C36" s="244" t="s">
        <v>96</v>
      </c>
      <c r="D36" s="218"/>
      <c r="E36" s="245" t="s">
        <v>666</v>
      </c>
      <c r="F36" s="246">
        <v>29553</v>
      </c>
      <c r="G36" s="117"/>
      <c r="H36" s="160"/>
      <c r="I36" s="160"/>
      <c r="J36" s="160"/>
      <c r="K36" s="160"/>
      <c r="L36" s="160"/>
      <c r="M36" s="160"/>
      <c r="N36" s="160"/>
      <c r="O36" s="160"/>
      <c r="P36" s="160"/>
      <c r="Q36" s="160"/>
      <c r="R36" s="160"/>
      <c r="S36" s="160"/>
      <c r="T36" s="160"/>
      <c r="U36" s="160"/>
      <c r="V36" s="160"/>
      <c r="W36" s="160"/>
      <c r="X36" s="160"/>
      <c r="Y36" s="160"/>
      <c r="Z36" s="160"/>
      <c r="AA36" s="243"/>
      <c r="AB36" s="236"/>
    </row>
    <row r="37" spans="1:28" ht="15.75" customHeight="1">
      <c r="A37" s="236"/>
      <c r="B37" s="241"/>
      <c r="C37" s="244"/>
      <c r="D37" s="218"/>
      <c r="E37" s="247" t="s">
        <v>667</v>
      </c>
      <c r="F37" s="248">
        <v>308</v>
      </c>
      <c r="G37" s="117"/>
      <c r="H37" s="160"/>
      <c r="I37" s="160"/>
      <c r="J37" s="160"/>
      <c r="K37" s="160"/>
      <c r="L37" s="160"/>
      <c r="M37" s="160"/>
      <c r="N37" s="160"/>
      <c r="O37" s="160"/>
      <c r="P37" s="160"/>
      <c r="Q37" s="160"/>
      <c r="R37" s="160"/>
      <c r="S37" s="160"/>
      <c r="T37" s="160"/>
      <c r="U37" s="160"/>
      <c r="V37" s="160"/>
      <c r="W37" s="160"/>
      <c r="X37" s="160"/>
      <c r="Y37" s="160"/>
      <c r="Z37" s="160"/>
      <c r="AA37" s="243"/>
      <c r="AB37" s="236"/>
    </row>
    <row r="38" spans="1:28" ht="15.75" customHeight="1" thickBot="1">
      <c r="A38" s="236"/>
      <c r="B38" s="241"/>
      <c r="C38" s="244" t="s">
        <v>97</v>
      </c>
      <c r="D38" s="218"/>
      <c r="E38" s="249" t="s">
        <v>1411</v>
      </c>
      <c r="F38" s="250">
        <f>62174*4</f>
        <v>248696</v>
      </c>
      <c r="G38" s="117"/>
      <c r="H38" s="160"/>
      <c r="I38" s="160"/>
      <c r="J38" s="160"/>
      <c r="K38" s="160"/>
      <c r="L38" s="160"/>
      <c r="M38" s="160"/>
      <c r="N38" s="160"/>
      <c r="O38" s="160"/>
      <c r="P38" s="160"/>
      <c r="Q38" s="160"/>
      <c r="R38" s="160"/>
      <c r="S38" s="160"/>
      <c r="T38" s="160"/>
      <c r="U38" s="160"/>
      <c r="V38" s="160"/>
      <c r="W38" s="160"/>
      <c r="X38" s="160"/>
      <c r="Y38" s="160"/>
      <c r="Z38" s="160"/>
      <c r="AA38" s="243"/>
      <c r="AB38" s="236"/>
    </row>
    <row r="39" spans="1:28" ht="15.75" customHeight="1">
      <c r="A39" s="236"/>
      <c r="B39" s="241"/>
      <c r="C39" s="117"/>
      <c r="D39" s="160"/>
      <c r="E39" s="214"/>
      <c r="F39" s="214"/>
      <c r="G39" s="160"/>
      <c r="H39" s="160"/>
      <c r="I39" s="160"/>
      <c r="J39" s="160"/>
      <c r="K39" s="160"/>
      <c r="L39" s="160"/>
      <c r="M39" s="160"/>
      <c r="N39" s="160"/>
      <c r="O39" s="160"/>
      <c r="P39" s="160"/>
      <c r="Q39" s="160"/>
      <c r="R39" s="160"/>
      <c r="S39" s="160"/>
      <c r="T39" s="160"/>
      <c r="U39" s="160"/>
      <c r="V39" s="160"/>
      <c r="W39" s="160"/>
      <c r="X39" s="160"/>
      <c r="Y39" s="160"/>
      <c r="Z39" s="160"/>
      <c r="AA39" s="243"/>
      <c r="AB39" s="236"/>
    </row>
    <row r="40" spans="1:28" ht="15.75" customHeight="1">
      <c r="A40" s="236"/>
      <c r="B40" s="241"/>
      <c r="C40" s="117"/>
      <c r="D40" s="160"/>
      <c r="E40" s="160"/>
      <c r="F40" s="160"/>
      <c r="G40" s="160"/>
      <c r="H40" s="160"/>
      <c r="I40" s="160"/>
      <c r="J40" s="160"/>
      <c r="K40" s="160"/>
      <c r="L40" s="160"/>
      <c r="M40" s="160"/>
      <c r="N40" s="160"/>
      <c r="O40" s="160"/>
      <c r="P40" s="160"/>
      <c r="Q40" s="160"/>
      <c r="R40" s="160"/>
      <c r="S40" s="160"/>
      <c r="T40" s="160"/>
      <c r="U40" s="160"/>
      <c r="V40" s="160"/>
      <c r="W40" s="160"/>
      <c r="X40" s="160"/>
      <c r="Y40" s="160"/>
      <c r="Z40" s="160"/>
      <c r="AA40" s="243"/>
      <c r="AB40" s="236"/>
    </row>
    <row r="41" spans="1:28" ht="15.75" customHeight="1" thickBot="1">
      <c r="A41" s="236"/>
      <c r="B41" s="241"/>
      <c r="C41" s="242" t="s">
        <v>525</v>
      </c>
      <c r="D41" s="160"/>
      <c r="E41" s="162"/>
      <c r="F41" s="162"/>
      <c r="G41" s="160"/>
      <c r="H41" s="160"/>
      <c r="I41" s="160"/>
      <c r="J41" s="160"/>
      <c r="K41" s="160"/>
      <c r="L41" s="160"/>
      <c r="M41" s="160"/>
      <c r="N41" s="160"/>
      <c r="O41" s="160"/>
      <c r="P41" s="160"/>
      <c r="Q41" s="160"/>
      <c r="R41" s="160"/>
      <c r="S41" s="160"/>
      <c r="T41" s="160"/>
      <c r="U41" s="160"/>
      <c r="V41" s="160"/>
      <c r="W41" s="160"/>
      <c r="X41" s="160"/>
      <c r="Y41" s="160"/>
      <c r="Z41" s="160"/>
      <c r="AA41" s="243"/>
      <c r="AB41" s="236"/>
    </row>
    <row r="42" spans="1:28" ht="15.75">
      <c r="A42" s="236"/>
      <c r="B42" s="241"/>
      <c r="C42" s="244" t="s">
        <v>665</v>
      </c>
      <c r="D42" s="218"/>
      <c r="E42" s="251" t="s">
        <v>85</v>
      </c>
      <c r="F42" s="246">
        <f>2.7*0.0001</f>
        <v>2.7000000000000006E-4</v>
      </c>
      <c r="G42" s="117"/>
      <c r="H42" s="160" t="s">
        <v>98</v>
      </c>
      <c r="I42" s="160"/>
      <c r="J42" s="160"/>
      <c r="K42" s="160"/>
      <c r="L42" s="160"/>
      <c r="M42" s="160"/>
      <c r="N42" s="160"/>
      <c r="O42" s="160"/>
      <c r="P42" s="160"/>
      <c r="Q42" s="160"/>
      <c r="R42" s="160"/>
      <c r="S42" s="160"/>
      <c r="T42" s="160"/>
      <c r="U42" s="160"/>
      <c r="V42" s="160"/>
      <c r="W42" s="160"/>
      <c r="X42" s="160"/>
      <c r="Y42" s="160"/>
      <c r="Z42" s="160"/>
      <c r="AA42" s="243"/>
      <c r="AB42" s="236"/>
    </row>
    <row r="43" spans="1:28" ht="15.75" customHeight="1">
      <c r="A43" s="236"/>
      <c r="B43" s="241"/>
      <c r="C43" s="244"/>
      <c r="D43" s="218"/>
      <c r="E43" s="252" t="s">
        <v>99</v>
      </c>
      <c r="F43" s="253">
        <v>20</v>
      </c>
      <c r="G43" s="117"/>
      <c r="H43" s="160" t="s">
        <v>98</v>
      </c>
      <c r="I43" s="160"/>
      <c r="J43" s="160"/>
      <c r="K43" s="160"/>
      <c r="L43" s="160"/>
      <c r="M43" s="160"/>
      <c r="N43" s="160"/>
      <c r="O43" s="160"/>
      <c r="P43" s="160"/>
      <c r="Q43" s="160"/>
      <c r="R43" s="160"/>
      <c r="S43" s="160"/>
      <c r="T43" s="160"/>
      <c r="U43" s="160"/>
      <c r="V43" s="160"/>
      <c r="W43" s="160"/>
      <c r="X43" s="160"/>
      <c r="Y43" s="160"/>
      <c r="Z43" s="160"/>
      <c r="AA43" s="243"/>
      <c r="AB43" s="236"/>
    </row>
    <row r="44" spans="1:28" ht="15.75" customHeight="1" thickBot="1">
      <c r="A44" s="236"/>
      <c r="B44" s="241"/>
      <c r="C44" s="117"/>
      <c r="D44" s="218"/>
      <c r="E44" s="254" t="s">
        <v>78</v>
      </c>
      <c r="F44" s="255">
        <f>F36</f>
        <v>29553</v>
      </c>
      <c r="G44" s="117"/>
      <c r="H44" s="160"/>
      <c r="I44" s="160"/>
      <c r="J44" s="160"/>
      <c r="K44" s="160"/>
      <c r="L44" s="160"/>
      <c r="M44" s="160"/>
      <c r="N44" s="160"/>
      <c r="O44" s="160"/>
      <c r="P44" s="160"/>
      <c r="Q44" s="160"/>
      <c r="R44" s="160"/>
      <c r="S44" s="160"/>
      <c r="T44" s="160"/>
      <c r="U44" s="160"/>
      <c r="V44" s="160"/>
      <c r="W44" s="160"/>
      <c r="X44" s="160"/>
      <c r="Y44" s="160"/>
      <c r="Z44" s="160"/>
      <c r="AA44" s="243"/>
      <c r="AB44" s="236"/>
    </row>
    <row r="45" spans="1:28" ht="15.75" customHeight="1" thickBot="1">
      <c r="A45" s="236"/>
      <c r="B45" s="241"/>
      <c r="C45" s="117"/>
      <c r="D45" s="218"/>
      <c r="E45" s="160"/>
      <c r="F45" s="160"/>
      <c r="G45" s="117"/>
      <c r="H45" s="160"/>
      <c r="I45" s="160"/>
      <c r="J45" s="160"/>
      <c r="K45" s="160"/>
      <c r="L45" s="160"/>
      <c r="M45" s="160"/>
      <c r="N45" s="160"/>
      <c r="O45" s="160"/>
      <c r="P45" s="160"/>
      <c r="Q45" s="160"/>
      <c r="R45" s="160"/>
      <c r="S45" s="160"/>
      <c r="T45" s="160"/>
      <c r="U45" s="160"/>
      <c r="V45" s="160"/>
      <c r="W45" s="160"/>
      <c r="X45" s="160"/>
      <c r="Y45" s="160"/>
      <c r="Z45" s="160"/>
      <c r="AA45" s="243"/>
      <c r="AB45" s="236"/>
    </row>
    <row r="46" spans="1:28" ht="15.75">
      <c r="A46" s="236"/>
      <c r="B46" s="241"/>
      <c r="C46" s="244" t="s">
        <v>668</v>
      </c>
      <c r="D46" s="218"/>
      <c r="E46" s="251" t="s">
        <v>85</v>
      </c>
      <c r="F46" s="246">
        <f>2.7*0.001</f>
        <v>2.7000000000000001E-3</v>
      </c>
      <c r="G46" s="117"/>
      <c r="H46" s="160" t="s">
        <v>98</v>
      </c>
      <c r="I46" s="160"/>
      <c r="J46" s="160"/>
      <c r="K46" s="160"/>
      <c r="L46" s="160"/>
      <c r="M46" s="160"/>
      <c r="N46" s="160"/>
      <c r="O46" s="160"/>
      <c r="P46" s="160"/>
      <c r="Q46" s="160"/>
      <c r="R46" s="160"/>
      <c r="S46" s="160"/>
      <c r="T46" s="160"/>
      <c r="U46" s="160"/>
      <c r="V46" s="160"/>
      <c r="W46" s="160"/>
      <c r="X46" s="160"/>
      <c r="Y46" s="160"/>
      <c r="Z46" s="160"/>
      <c r="AA46" s="243"/>
      <c r="AB46" s="236"/>
    </row>
    <row r="47" spans="1:28" ht="15.75" customHeight="1">
      <c r="A47" s="236"/>
      <c r="B47" s="241"/>
      <c r="C47" s="244"/>
      <c r="D47" s="218"/>
      <c r="E47" s="252" t="s">
        <v>99</v>
      </c>
      <c r="F47" s="253">
        <v>20</v>
      </c>
      <c r="G47" s="117"/>
      <c r="H47" s="160" t="s">
        <v>98</v>
      </c>
      <c r="I47" s="160"/>
      <c r="J47" s="160"/>
      <c r="K47" s="160"/>
      <c r="L47" s="160"/>
      <c r="M47" s="160"/>
      <c r="N47" s="160"/>
      <c r="O47" s="160"/>
      <c r="P47" s="160"/>
      <c r="Q47" s="160"/>
      <c r="R47" s="160"/>
      <c r="S47" s="160"/>
      <c r="T47" s="160"/>
      <c r="U47" s="160"/>
      <c r="V47" s="160"/>
      <c r="W47" s="160"/>
      <c r="X47" s="160"/>
      <c r="Y47" s="160"/>
      <c r="Z47" s="160"/>
      <c r="AA47" s="243"/>
      <c r="AB47" s="236"/>
    </row>
    <row r="48" spans="1:28" ht="15.75" customHeight="1" thickBot="1">
      <c r="A48" s="236"/>
      <c r="B48" s="241"/>
      <c r="C48" s="117"/>
      <c r="D48" s="218"/>
      <c r="E48" s="254" t="s">
        <v>78</v>
      </c>
      <c r="F48" s="255">
        <f>F37</f>
        <v>308</v>
      </c>
      <c r="G48" s="117"/>
      <c r="H48" s="160"/>
      <c r="I48" s="160"/>
      <c r="J48" s="160"/>
      <c r="K48" s="160"/>
      <c r="L48" s="160"/>
      <c r="M48" s="160"/>
      <c r="N48" s="160"/>
      <c r="O48" s="160"/>
      <c r="P48" s="160"/>
      <c r="Q48" s="160"/>
      <c r="R48" s="160"/>
      <c r="S48" s="160"/>
      <c r="T48" s="160"/>
      <c r="U48" s="160"/>
      <c r="V48" s="160"/>
      <c r="W48" s="160"/>
      <c r="X48" s="160"/>
      <c r="Y48" s="160"/>
      <c r="Z48" s="160"/>
      <c r="AA48" s="243"/>
      <c r="AB48" s="236"/>
    </row>
    <row r="49" spans="1:28" ht="15.75" customHeight="1" thickBot="1">
      <c r="A49" s="236"/>
      <c r="B49" s="241"/>
      <c r="C49" s="117"/>
      <c r="D49" s="160"/>
      <c r="E49" s="256"/>
      <c r="F49" s="215"/>
      <c r="G49" s="160"/>
      <c r="H49" s="160"/>
      <c r="I49" s="160"/>
      <c r="J49" s="160"/>
      <c r="K49" s="160"/>
      <c r="L49" s="160"/>
      <c r="M49" s="160"/>
      <c r="N49" s="160"/>
      <c r="O49" s="160"/>
      <c r="P49" s="160"/>
      <c r="Q49" s="160"/>
      <c r="R49" s="160"/>
      <c r="S49" s="160"/>
      <c r="T49" s="160"/>
      <c r="U49" s="160"/>
      <c r="V49" s="160"/>
      <c r="W49" s="160"/>
      <c r="X49" s="160"/>
      <c r="Y49" s="160"/>
      <c r="Z49" s="160"/>
      <c r="AA49" s="243"/>
      <c r="AB49" s="236"/>
    </row>
    <row r="50" spans="1:28" ht="15.75" customHeight="1">
      <c r="A50" s="236"/>
      <c r="B50" s="241"/>
      <c r="C50" s="244" t="s">
        <v>97</v>
      </c>
      <c r="D50" s="218"/>
      <c r="E50" s="251" t="s">
        <v>85</v>
      </c>
      <c r="F50" s="246">
        <f>1*0.000001</f>
        <v>9.9999999999999995E-7</v>
      </c>
      <c r="G50" s="117"/>
      <c r="H50" s="160" t="s">
        <v>98</v>
      </c>
      <c r="I50" s="160"/>
      <c r="J50" s="160"/>
      <c r="K50" s="160"/>
      <c r="L50" s="160"/>
      <c r="M50" s="160"/>
      <c r="N50" s="160"/>
      <c r="O50" s="160"/>
      <c r="P50" s="160"/>
      <c r="Q50" s="160"/>
      <c r="R50" s="160"/>
      <c r="S50" s="160"/>
      <c r="T50" s="160"/>
      <c r="U50" s="160"/>
      <c r="V50" s="160"/>
      <c r="W50" s="160"/>
      <c r="X50" s="160"/>
      <c r="Y50" s="160"/>
      <c r="Z50" s="160"/>
      <c r="AA50" s="243"/>
      <c r="AB50" s="236"/>
    </row>
    <row r="51" spans="1:28" ht="15.75" customHeight="1">
      <c r="A51" s="236"/>
      <c r="B51" s="241"/>
      <c r="C51" s="244"/>
      <c r="D51" s="218"/>
      <c r="E51" s="252" t="s">
        <v>76</v>
      </c>
      <c r="F51" s="253">
        <v>1.7</v>
      </c>
      <c r="G51" s="117"/>
      <c r="H51" s="160" t="s">
        <v>98</v>
      </c>
      <c r="I51" s="160"/>
      <c r="J51" s="160"/>
      <c r="K51" s="160"/>
      <c r="L51" s="160"/>
      <c r="M51" s="160"/>
      <c r="N51" s="160"/>
      <c r="O51" s="160"/>
      <c r="P51" s="160"/>
      <c r="Q51" s="160"/>
      <c r="R51" s="160"/>
      <c r="S51" s="160"/>
      <c r="T51" s="160"/>
      <c r="U51" s="160"/>
      <c r="V51" s="160"/>
      <c r="W51" s="160"/>
      <c r="X51" s="160"/>
      <c r="Y51" s="160"/>
      <c r="Z51" s="160"/>
      <c r="AA51" s="243"/>
      <c r="AB51" s="236"/>
    </row>
    <row r="52" spans="1:28" ht="15.75" customHeight="1" thickBot="1">
      <c r="A52" s="236"/>
      <c r="B52" s="241"/>
      <c r="C52" s="117"/>
      <c r="D52" s="218"/>
      <c r="E52" s="254" t="s">
        <v>78</v>
      </c>
      <c r="F52" s="255">
        <f>F38</f>
        <v>248696</v>
      </c>
      <c r="G52" s="117"/>
      <c r="H52" s="160"/>
      <c r="I52" s="160"/>
      <c r="J52" s="160"/>
      <c r="K52" s="160"/>
      <c r="L52" s="160"/>
      <c r="M52" s="160"/>
      <c r="N52" s="160"/>
      <c r="O52" s="160"/>
      <c r="P52" s="160"/>
      <c r="Q52" s="160"/>
      <c r="R52" s="160"/>
      <c r="S52" s="160"/>
      <c r="T52" s="160"/>
      <c r="U52" s="160"/>
      <c r="V52" s="160"/>
      <c r="W52" s="160"/>
      <c r="X52" s="160"/>
      <c r="Y52" s="160"/>
      <c r="Z52" s="160"/>
      <c r="AA52" s="243"/>
      <c r="AB52" s="236"/>
    </row>
    <row r="53" spans="1:28" ht="15.75" customHeight="1">
      <c r="A53" s="236"/>
      <c r="B53" s="241"/>
      <c r="C53" s="117"/>
      <c r="D53" s="160"/>
      <c r="E53" s="214"/>
      <c r="F53" s="214"/>
      <c r="G53" s="160"/>
      <c r="H53" s="160"/>
      <c r="I53" s="160"/>
      <c r="J53" s="160"/>
      <c r="K53" s="160"/>
      <c r="L53" s="160"/>
      <c r="M53" s="160"/>
      <c r="N53" s="160"/>
      <c r="O53" s="160"/>
      <c r="P53" s="160"/>
      <c r="Q53" s="160"/>
      <c r="R53" s="160"/>
      <c r="S53" s="160"/>
      <c r="T53" s="160"/>
      <c r="U53" s="160"/>
      <c r="V53" s="160"/>
      <c r="W53" s="160"/>
      <c r="X53" s="160"/>
      <c r="Y53" s="160"/>
      <c r="Z53" s="160"/>
      <c r="AA53" s="243"/>
      <c r="AB53" s="236"/>
    </row>
    <row r="54" spans="1:28" ht="15.75" customHeight="1">
      <c r="A54" s="236"/>
      <c r="B54" s="241"/>
      <c r="C54" s="242" t="s">
        <v>526</v>
      </c>
      <c r="D54" s="160"/>
      <c r="E54" s="160"/>
      <c r="F54" s="160"/>
      <c r="G54" s="160"/>
      <c r="H54" s="160"/>
      <c r="I54" s="160"/>
      <c r="J54" s="160"/>
      <c r="K54" s="160"/>
      <c r="L54" s="160"/>
      <c r="M54" s="160"/>
      <c r="N54" s="160"/>
      <c r="O54" s="160"/>
      <c r="P54" s="160"/>
      <c r="Q54" s="160"/>
      <c r="R54" s="160"/>
      <c r="S54" s="160"/>
      <c r="T54" s="160"/>
      <c r="U54" s="160"/>
      <c r="V54" s="160"/>
      <c r="W54" s="160"/>
      <c r="X54" s="160"/>
      <c r="Y54" s="160"/>
      <c r="Z54" s="160"/>
      <c r="AA54" s="243"/>
      <c r="AB54" s="236"/>
    </row>
    <row r="55" spans="1:28" ht="15.75" customHeight="1" thickBot="1">
      <c r="A55" s="236"/>
      <c r="B55" s="241"/>
      <c r="C55" s="117"/>
      <c r="D55" s="160"/>
      <c r="E55" s="162"/>
      <c r="F55" s="162"/>
      <c r="G55" s="160"/>
      <c r="H55" s="160"/>
      <c r="I55" s="160"/>
      <c r="J55" s="160"/>
      <c r="K55" s="160"/>
      <c r="L55" s="160"/>
      <c r="M55" s="160"/>
      <c r="N55" s="160"/>
      <c r="O55" s="160"/>
      <c r="P55" s="160"/>
      <c r="Q55" s="160"/>
      <c r="R55" s="160"/>
      <c r="S55" s="160"/>
      <c r="T55" s="160"/>
      <c r="U55" s="160"/>
      <c r="V55" s="160"/>
      <c r="W55" s="160"/>
      <c r="X55" s="160"/>
      <c r="Y55" s="160"/>
      <c r="Z55" s="160"/>
      <c r="AA55" s="243"/>
      <c r="AB55" s="236"/>
    </row>
    <row r="56" spans="1:28" ht="15.75" customHeight="1">
      <c r="A56" s="236"/>
      <c r="B56" s="241"/>
      <c r="C56" s="117"/>
      <c r="D56" s="218"/>
      <c r="E56" s="257" t="s">
        <v>611</v>
      </c>
      <c r="F56" s="246">
        <v>2025</v>
      </c>
      <c r="G56" s="117"/>
      <c r="H56" s="160"/>
      <c r="I56" s="160"/>
      <c r="J56" s="160"/>
      <c r="K56" s="160"/>
      <c r="L56" s="160"/>
      <c r="M56" s="160"/>
      <c r="N56" s="160"/>
      <c r="O56" s="160"/>
      <c r="P56" s="160"/>
      <c r="Q56" s="160"/>
      <c r="R56" s="160"/>
      <c r="S56" s="160"/>
      <c r="T56" s="160"/>
      <c r="U56" s="160"/>
      <c r="V56" s="160"/>
      <c r="W56" s="160"/>
      <c r="X56" s="160"/>
      <c r="Y56" s="160"/>
      <c r="Z56" s="160"/>
      <c r="AA56" s="243"/>
      <c r="AB56" s="236"/>
    </row>
    <row r="57" spans="1:28" ht="15.75" customHeight="1" thickBot="1">
      <c r="A57" s="236"/>
      <c r="B57" s="241"/>
      <c r="C57" s="117"/>
      <c r="D57" s="218"/>
      <c r="E57" s="249" t="s">
        <v>1137</v>
      </c>
      <c r="F57" s="255">
        <f>F56-1998</f>
        <v>27</v>
      </c>
      <c r="G57" s="117"/>
      <c r="H57" s="160"/>
      <c r="I57" s="160"/>
      <c r="J57" s="160"/>
      <c r="K57" s="160"/>
      <c r="L57" s="160"/>
      <c r="M57" s="160"/>
      <c r="N57" s="160"/>
      <c r="O57" s="160"/>
      <c r="P57" s="160"/>
      <c r="Q57" s="160"/>
      <c r="R57" s="160"/>
      <c r="S57" s="160"/>
      <c r="T57" s="160"/>
      <c r="U57" s="160"/>
      <c r="V57" s="160"/>
      <c r="W57" s="160"/>
      <c r="X57" s="160"/>
      <c r="Y57" s="160"/>
      <c r="Z57" s="160"/>
      <c r="AA57" s="243"/>
      <c r="AB57" s="236"/>
    </row>
    <row r="58" spans="1:28" ht="15.75" customHeight="1">
      <c r="A58" s="236"/>
      <c r="B58" s="241"/>
      <c r="C58" s="117"/>
      <c r="D58" s="160"/>
      <c r="E58" s="214"/>
      <c r="F58" s="214"/>
      <c r="G58" s="160"/>
      <c r="H58" s="160"/>
      <c r="I58" s="160"/>
      <c r="J58" s="160"/>
      <c r="K58" s="160"/>
      <c r="L58" s="160"/>
      <c r="M58" s="160"/>
      <c r="N58" s="160"/>
      <c r="O58" s="160"/>
      <c r="P58" s="160"/>
      <c r="Q58" s="160"/>
      <c r="R58" s="160"/>
      <c r="S58" s="160"/>
      <c r="T58" s="160"/>
      <c r="U58" s="160"/>
      <c r="V58" s="160"/>
      <c r="W58" s="160"/>
      <c r="X58" s="160"/>
      <c r="Y58" s="160"/>
      <c r="Z58" s="160"/>
      <c r="AA58" s="243"/>
      <c r="AB58" s="236"/>
    </row>
    <row r="59" spans="1:28" ht="15.75" customHeight="1">
      <c r="A59" s="236"/>
      <c r="B59" s="241"/>
      <c r="C59" s="117"/>
      <c r="D59" s="160"/>
      <c r="E59" s="160"/>
      <c r="F59" s="160"/>
      <c r="G59" s="160"/>
      <c r="H59" s="160"/>
      <c r="I59" s="160"/>
      <c r="J59" s="160"/>
      <c r="K59" s="160"/>
      <c r="L59" s="160"/>
      <c r="M59" s="160"/>
      <c r="N59" s="160"/>
      <c r="O59" s="160"/>
      <c r="P59" s="160"/>
      <c r="Q59" s="160"/>
      <c r="R59" s="160"/>
      <c r="S59" s="160"/>
      <c r="T59" s="160"/>
      <c r="U59" s="160"/>
      <c r="V59" s="160"/>
      <c r="W59" s="160"/>
      <c r="X59" s="160"/>
      <c r="Y59" s="160"/>
      <c r="Z59" s="160"/>
      <c r="AA59" s="243"/>
      <c r="AB59" s="236"/>
    </row>
    <row r="60" spans="1:28" ht="15.75" customHeight="1">
      <c r="A60" s="236"/>
      <c r="B60" s="241"/>
      <c r="C60" s="117"/>
      <c r="D60" s="160"/>
      <c r="E60" s="160"/>
      <c r="F60" s="160"/>
      <c r="G60" s="160"/>
      <c r="H60" s="160"/>
      <c r="I60" s="160"/>
      <c r="J60" s="160"/>
      <c r="K60" s="160"/>
      <c r="L60" s="160"/>
      <c r="M60" s="160"/>
      <c r="N60" s="160"/>
      <c r="O60" s="160"/>
      <c r="P60" s="160"/>
      <c r="Q60" s="160"/>
      <c r="R60" s="160"/>
      <c r="S60" s="160"/>
      <c r="T60" s="160"/>
      <c r="U60" s="160"/>
      <c r="V60" s="160"/>
      <c r="W60" s="160"/>
      <c r="X60" s="160"/>
      <c r="Y60" s="160"/>
      <c r="Z60" s="160"/>
      <c r="AA60" s="243"/>
      <c r="AB60" s="236"/>
    </row>
    <row r="61" spans="1:28" s="264" customFormat="1" ht="31.5" customHeight="1" thickBot="1">
      <c r="A61" s="258"/>
      <c r="B61" s="259"/>
      <c r="C61" s="260" t="s">
        <v>101</v>
      </c>
      <c r="D61" s="261"/>
      <c r="E61" s="261"/>
      <c r="F61" s="262"/>
      <c r="G61" s="261"/>
      <c r="H61" s="261"/>
      <c r="I61" s="261"/>
      <c r="J61" s="261"/>
      <c r="K61" s="261"/>
      <c r="L61" s="261"/>
      <c r="M61" s="261"/>
      <c r="N61" s="261"/>
      <c r="O61" s="261"/>
      <c r="P61" s="261"/>
      <c r="Q61" s="261"/>
      <c r="R61" s="261"/>
      <c r="S61" s="261"/>
      <c r="T61" s="261"/>
      <c r="U61" s="261"/>
      <c r="V61" s="261"/>
      <c r="W61" s="261"/>
      <c r="X61" s="261"/>
      <c r="Y61" s="261"/>
      <c r="Z61" s="261"/>
      <c r="AA61" s="263"/>
      <c r="AB61" s="258"/>
    </row>
    <row r="62" spans="1:28" s="264" customFormat="1" ht="26.25" customHeight="1">
      <c r="A62" s="258"/>
      <c r="B62" s="259"/>
      <c r="C62" s="265" t="s">
        <v>96</v>
      </c>
      <c r="D62" s="261"/>
      <c r="E62" s="270" t="s">
        <v>1139</v>
      </c>
      <c r="F62" s="401">
        <f>F42*F44*EXP(-0.35*F57)</f>
        <v>6.278884350688843E-4</v>
      </c>
      <c r="G62" s="267"/>
      <c r="H62" s="261"/>
      <c r="I62" s="261"/>
      <c r="J62" s="261"/>
      <c r="K62" s="261"/>
      <c r="L62" s="261"/>
      <c r="M62" s="261"/>
      <c r="N62" s="261"/>
      <c r="O62" s="261"/>
      <c r="P62" s="261"/>
      <c r="Q62" s="261"/>
      <c r="R62" s="261"/>
      <c r="S62" s="261"/>
      <c r="T62" s="261"/>
      <c r="U62" s="261"/>
      <c r="V62" s="261"/>
      <c r="W62" s="261"/>
      <c r="X62" s="261"/>
      <c r="Y62" s="261"/>
      <c r="Z62" s="261"/>
      <c r="AA62" s="263"/>
      <c r="AB62" s="258"/>
    </row>
    <row r="63" spans="1:28" s="264" customFormat="1" ht="26.25" customHeight="1">
      <c r="A63" s="258"/>
      <c r="B63" s="259"/>
      <c r="C63" s="265"/>
      <c r="D63" s="261"/>
      <c r="E63" s="270" t="s">
        <v>1140</v>
      </c>
      <c r="F63" s="402">
        <f>F46*F48*EXP(-0.35*F57)</f>
        <v>6.5438242480024469E-5</v>
      </c>
      <c r="G63" s="267"/>
      <c r="H63" s="261"/>
      <c r="I63" s="261"/>
      <c r="J63" s="261"/>
      <c r="K63" s="261"/>
      <c r="L63" s="261"/>
      <c r="M63" s="261"/>
      <c r="N63" s="261"/>
      <c r="O63" s="261"/>
      <c r="P63" s="261"/>
      <c r="Q63" s="261"/>
      <c r="R63" s="261"/>
      <c r="S63" s="261"/>
      <c r="T63" s="261"/>
      <c r="U63" s="261"/>
      <c r="V63" s="261"/>
      <c r="W63" s="261"/>
      <c r="X63" s="261"/>
      <c r="Y63" s="261"/>
      <c r="Z63" s="261"/>
      <c r="AA63" s="263"/>
      <c r="AB63" s="258"/>
    </row>
    <row r="64" spans="1:28" s="264" customFormat="1" ht="26.25" customHeight="1">
      <c r="A64" s="258"/>
      <c r="B64" s="259"/>
      <c r="C64" s="265" t="s">
        <v>97</v>
      </c>
      <c r="D64" s="261"/>
      <c r="E64" s="269"/>
      <c r="F64" s="402">
        <f>F50*F52*EXP(-0.35*F57)</f>
        <v>1.9569780124834254E-5</v>
      </c>
      <c r="G64" s="267"/>
      <c r="H64" s="261"/>
      <c r="I64" s="261"/>
      <c r="J64" s="261"/>
      <c r="K64" s="261"/>
      <c r="L64" s="261"/>
      <c r="M64" s="261"/>
      <c r="N64" s="261"/>
      <c r="O64" s="261"/>
      <c r="P64" s="261"/>
      <c r="Q64" s="261"/>
      <c r="R64" s="261"/>
      <c r="S64" s="261"/>
      <c r="T64" s="261"/>
      <c r="U64" s="261"/>
      <c r="V64" s="261"/>
      <c r="W64" s="261"/>
      <c r="X64" s="261"/>
      <c r="Y64" s="261"/>
      <c r="Z64" s="261"/>
      <c r="AA64" s="263"/>
      <c r="AB64" s="258"/>
    </row>
    <row r="65" spans="1:28" s="264" customFormat="1" ht="29.25" customHeight="1">
      <c r="A65" s="258"/>
      <c r="B65" s="259"/>
      <c r="C65" s="267"/>
      <c r="D65" s="261"/>
      <c r="E65" s="270"/>
      <c r="F65" s="268">
        <f>F43</f>
        <v>20</v>
      </c>
      <c r="G65" s="267"/>
      <c r="H65" s="261"/>
      <c r="I65" s="261"/>
      <c r="J65" s="261"/>
      <c r="K65" s="261"/>
      <c r="L65" s="261"/>
      <c r="M65" s="261"/>
      <c r="N65" s="261"/>
      <c r="O65" s="261"/>
      <c r="P65" s="261"/>
      <c r="Q65" s="261"/>
      <c r="R65" s="261"/>
      <c r="S65" s="261"/>
      <c r="T65" s="261"/>
      <c r="U65" s="261"/>
      <c r="V65" s="261"/>
      <c r="W65" s="261"/>
      <c r="X65" s="261"/>
      <c r="Y65" s="261"/>
      <c r="Z65" s="261"/>
      <c r="AA65" s="263"/>
      <c r="AB65" s="258"/>
    </row>
    <row r="66" spans="1:28" ht="30" customHeight="1" thickBot="1">
      <c r="A66" s="236"/>
      <c r="B66" s="241"/>
      <c r="C66" s="117"/>
      <c r="D66" s="160"/>
      <c r="E66" s="271"/>
      <c r="F66" s="403">
        <f>F62+F63+F64+F65</f>
        <v>20.000712896457674</v>
      </c>
      <c r="G66" s="117"/>
      <c r="H66" s="160"/>
      <c r="I66" s="160"/>
      <c r="J66" s="160"/>
      <c r="K66" s="160"/>
      <c r="L66" s="160"/>
      <c r="M66" s="160"/>
      <c r="N66" s="160"/>
      <c r="O66" s="160"/>
      <c r="P66" s="160"/>
      <c r="Q66" s="160"/>
      <c r="R66" s="160"/>
      <c r="S66" s="160"/>
      <c r="T66" s="160"/>
      <c r="U66" s="160"/>
      <c r="V66" s="160"/>
      <c r="W66" s="160"/>
      <c r="X66" s="160"/>
      <c r="Y66" s="160"/>
      <c r="Z66" s="160"/>
      <c r="AA66" s="243"/>
      <c r="AB66" s="236"/>
    </row>
    <row r="67" spans="1:28">
      <c r="A67" s="236"/>
      <c r="B67" s="241"/>
      <c r="C67" s="117"/>
      <c r="D67" s="160"/>
      <c r="E67" s="160"/>
      <c r="F67" s="214"/>
      <c r="G67" s="160"/>
      <c r="H67" s="160"/>
      <c r="I67" s="160"/>
      <c r="J67" s="160"/>
      <c r="K67" s="160"/>
      <c r="L67" s="160"/>
      <c r="M67" s="160"/>
      <c r="N67" s="160"/>
      <c r="O67" s="160"/>
      <c r="P67" s="160"/>
      <c r="Q67" s="160"/>
      <c r="R67" s="160"/>
      <c r="S67" s="160"/>
      <c r="T67" s="160"/>
      <c r="U67" s="160"/>
      <c r="V67" s="160"/>
      <c r="W67" s="160"/>
      <c r="X67" s="160"/>
      <c r="Y67" s="160"/>
      <c r="Z67" s="160"/>
      <c r="AA67" s="243"/>
      <c r="AB67" s="236"/>
    </row>
    <row r="68" spans="1:28">
      <c r="A68" s="236"/>
      <c r="B68" s="241"/>
      <c r="C68" s="117"/>
      <c r="D68" s="160"/>
      <c r="E68" s="160"/>
      <c r="F68" s="160"/>
      <c r="G68" s="160"/>
      <c r="H68" s="160"/>
      <c r="I68" s="160"/>
      <c r="J68" s="160"/>
      <c r="K68" s="160"/>
      <c r="L68" s="160"/>
      <c r="M68" s="160"/>
      <c r="N68" s="160"/>
      <c r="O68" s="160"/>
      <c r="P68" s="160"/>
      <c r="Q68" s="160"/>
      <c r="R68" s="160"/>
      <c r="S68" s="160"/>
      <c r="T68" s="160"/>
      <c r="U68" s="160"/>
      <c r="V68" s="160"/>
      <c r="W68" s="160"/>
      <c r="X68" s="160"/>
      <c r="Y68" s="160"/>
      <c r="Z68" s="160"/>
      <c r="AA68" s="243"/>
      <c r="AB68" s="236"/>
    </row>
    <row r="69" spans="1:28">
      <c r="A69" s="236"/>
      <c r="B69" s="241"/>
      <c r="C69" s="117"/>
      <c r="D69" s="160"/>
      <c r="E69" s="160"/>
      <c r="F69" s="160"/>
      <c r="G69" s="160"/>
      <c r="H69" s="160"/>
      <c r="I69" s="160"/>
      <c r="J69" s="160"/>
      <c r="K69" s="160"/>
      <c r="L69" s="160"/>
      <c r="M69" s="160"/>
      <c r="N69" s="160"/>
      <c r="O69" s="160"/>
      <c r="P69" s="160"/>
      <c r="Q69" s="160"/>
      <c r="R69" s="160"/>
      <c r="S69" s="160"/>
      <c r="T69" s="160"/>
      <c r="U69" s="160"/>
      <c r="V69" s="160"/>
      <c r="W69" s="160"/>
      <c r="X69" s="160"/>
      <c r="Y69" s="160"/>
      <c r="Z69" s="160"/>
      <c r="AA69" s="243"/>
      <c r="AB69" s="236"/>
    </row>
    <row r="70" spans="1:28">
      <c r="A70" s="236"/>
      <c r="B70" s="241"/>
      <c r="C70" s="117"/>
      <c r="D70" s="160"/>
      <c r="E70" s="160"/>
      <c r="F70" s="160"/>
      <c r="G70" s="160"/>
      <c r="H70" s="160"/>
      <c r="I70" s="160"/>
      <c r="J70" s="160"/>
      <c r="K70" s="160"/>
      <c r="L70" s="160"/>
      <c r="M70" s="160"/>
      <c r="N70" s="160"/>
      <c r="O70" s="160"/>
      <c r="P70" s="160"/>
      <c r="Q70" s="160"/>
      <c r="R70" s="160"/>
      <c r="S70" s="160"/>
      <c r="T70" s="160"/>
      <c r="U70" s="160"/>
      <c r="V70" s="160"/>
      <c r="W70" s="160"/>
      <c r="X70" s="160"/>
      <c r="Y70" s="160"/>
      <c r="Z70" s="160"/>
      <c r="AA70" s="243"/>
      <c r="AB70" s="236"/>
    </row>
    <row r="71" spans="1:28" ht="15.75">
      <c r="A71" s="236"/>
      <c r="B71" s="241"/>
      <c r="C71" s="242" t="s">
        <v>527</v>
      </c>
      <c r="D71" s="160"/>
      <c r="E71" s="160"/>
      <c r="F71" s="160"/>
      <c r="G71" s="160"/>
      <c r="H71" s="160"/>
      <c r="I71" s="160"/>
      <c r="J71" s="160"/>
      <c r="K71" s="160"/>
      <c r="L71" s="160"/>
      <c r="M71" s="160"/>
      <c r="N71" s="160"/>
      <c r="O71" s="160"/>
      <c r="P71" s="160"/>
      <c r="Q71" s="160"/>
      <c r="R71" s="160"/>
      <c r="S71" s="160"/>
      <c r="T71" s="160"/>
      <c r="U71" s="160"/>
      <c r="V71" s="160"/>
      <c r="W71" s="160"/>
      <c r="X71" s="160"/>
      <c r="Y71" s="160"/>
      <c r="Z71" s="160"/>
      <c r="AA71" s="243"/>
      <c r="AB71" s="236"/>
    </row>
    <row r="72" spans="1:28" ht="16.5" thickBot="1">
      <c r="A72" s="236"/>
      <c r="B72" s="241"/>
      <c r="C72" s="242"/>
      <c r="D72" s="162"/>
      <c r="E72" s="162"/>
      <c r="F72" s="160"/>
      <c r="G72" s="160"/>
      <c r="H72" s="160"/>
      <c r="I72" s="160"/>
      <c r="J72" s="160"/>
      <c r="K72" s="160"/>
      <c r="L72" s="160"/>
      <c r="M72" s="160"/>
      <c r="N72" s="160"/>
      <c r="O72" s="160"/>
      <c r="P72" s="160"/>
      <c r="Q72" s="160"/>
      <c r="R72" s="160"/>
      <c r="S72" s="160"/>
      <c r="T72" s="160"/>
      <c r="U72" s="160"/>
      <c r="V72" s="160"/>
      <c r="W72" s="160"/>
      <c r="X72" s="160"/>
      <c r="Y72" s="160"/>
      <c r="Z72" s="160"/>
      <c r="AA72" s="243"/>
      <c r="AB72" s="236"/>
    </row>
    <row r="73" spans="1:28" ht="18.75" customHeight="1">
      <c r="A73" s="236"/>
      <c r="B73" s="241"/>
      <c r="C73" s="236"/>
      <c r="D73" s="845" t="s">
        <v>102</v>
      </c>
      <c r="E73" s="273">
        <v>15</v>
      </c>
      <c r="F73" s="274" t="s">
        <v>100</v>
      </c>
      <c r="G73" s="160"/>
      <c r="H73" s="160"/>
      <c r="I73" s="160"/>
      <c r="J73" s="160"/>
      <c r="K73" s="160"/>
      <c r="L73" s="160"/>
      <c r="M73" s="160"/>
      <c r="N73" s="160"/>
      <c r="O73" s="160"/>
      <c r="P73" s="160"/>
      <c r="Q73" s="160"/>
      <c r="R73" s="160"/>
      <c r="S73" s="160"/>
      <c r="T73" s="160"/>
      <c r="U73" s="160"/>
      <c r="V73" s="160"/>
      <c r="W73" s="160"/>
      <c r="X73" s="160"/>
      <c r="Y73" s="160"/>
      <c r="Z73" s="160"/>
      <c r="AA73" s="243"/>
      <c r="AB73" s="236"/>
    </row>
    <row r="74" spans="1:28" ht="18.75" customHeight="1" thickBot="1">
      <c r="A74" s="236"/>
      <c r="B74" s="241"/>
      <c r="C74" s="236"/>
      <c r="D74" s="847"/>
      <c r="E74" s="276">
        <f>8000/0.058</f>
        <v>137931.03448275861</v>
      </c>
      <c r="F74" s="274" t="s">
        <v>103</v>
      </c>
      <c r="G74" s="160"/>
      <c r="H74" s="160"/>
      <c r="I74" s="160"/>
      <c r="J74" s="160"/>
      <c r="K74" s="160"/>
      <c r="L74" s="160"/>
      <c r="M74" s="160"/>
      <c r="N74" s="160"/>
      <c r="O74" s="160"/>
      <c r="P74" s="160"/>
      <c r="Q74" s="160"/>
      <c r="R74" s="160"/>
      <c r="S74" s="160"/>
      <c r="T74" s="160"/>
      <c r="U74" s="160"/>
      <c r="V74" s="160"/>
      <c r="W74" s="160"/>
      <c r="X74" s="160"/>
      <c r="Y74" s="160"/>
      <c r="Z74" s="160"/>
      <c r="AA74" s="243"/>
      <c r="AB74" s="236"/>
    </row>
    <row r="75" spans="1:28" ht="18.75" customHeight="1" thickBot="1">
      <c r="A75" s="236"/>
      <c r="B75" s="241"/>
      <c r="C75" s="117"/>
      <c r="D75" s="215"/>
      <c r="E75" s="256"/>
      <c r="F75" s="160"/>
      <c r="G75" s="160"/>
      <c r="H75" s="160"/>
      <c r="I75" s="160"/>
      <c r="J75" s="160"/>
      <c r="K75" s="160"/>
      <c r="L75" s="160"/>
      <c r="M75" s="160"/>
      <c r="N75" s="160"/>
      <c r="O75" s="160"/>
      <c r="P75" s="160"/>
      <c r="Q75" s="160"/>
      <c r="R75" s="160"/>
      <c r="S75" s="160"/>
      <c r="T75" s="160"/>
      <c r="U75" s="160"/>
      <c r="V75" s="160"/>
      <c r="W75" s="160"/>
      <c r="X75" s="160"/>
      <c r="Y75" s="160"/>
      <c r="Z75" s="160"/>
      <c r="AA75" s="243"/>
      <c r="AB75" s="236"/>
    </row>
    <row r="76" spans="1:28" ht="18.75" customHeight="1">
      <c r="A76" s="236"/>
      <c r="B76" s="241"/>
      <c r="C76" s="236"/>
      <c r="D76" s="272" t="s">
        <v>104</v>
      </c>
      <c r="E76" s="273">
        <v>23.3</v>
      </c>
      <c r="F76" s="274" t="s">
        <v>528</v>
      </c>
      <c r="G76" s="160"/>
      <c r="H76" s="160"/>
      <c r="I76" s="160"/>
      <c r="J76" s="160"/>
      <c r="K76" s="160"/>
      <c r="L76" s="160"/>
      <c r="M76" s="160"/>
      <c r="N76" s="160"/>
      <c r="O76" s="160"/>
      <c r="P76" s="160"/>
      <c r="Q76" s="160"/>
      <c r="R76" s="160"/>
      <c r="S76" s="160"/>
      <c r="T76" s="160"/>
      <c r="U76" s="160"/>
      <c r="V76" s="160"/>
      <c r="W76" s="160"/>
      <c r="X76" s="160"/>
      <c r="Y76" s="160"/>
      <c r="Z76" s="160"/>
      <c r="AA76" s="243"/>
      <c r="AB76" s="236"/>
    </row>
    <row r="77" spans="1:28" ht="18.75" customHeight="1">
      <c r="A77" s="236"/>
      <c r="B77" s="241"/>
      <c r="C77" s="236"/>
      <c r="D77" s="277" t="s">
        <v>105</v>
      </c>
      <c r="E77" s="278">
        <v>1.4</v>
      </c>
      <c r="F77" s="274" t="s">
        <v>106</v>
      </c>
      <c r="G77" s="160"/>
      <c r="H77" s="160"/>
      <c r="I77" s="160"/>
      <c r="J77" s="160"/>
      <c r="K77" s="160"/>
      <c r="L77" s="160"/>
      <c r="M77" s="160"/>
      <c r="N77" s="160"/>
      <c r="O77" s="160"/>
      <c r="P77" s="160"/>
      <c r="Q77" s="160"/>
      <c r="R77" s="160"/>
      <c r="S77" s="160"/>
      <c r="T77" s="160"/>
      <c r="U77" s="160"/>
      <c r="V77" s="160"/>
      <c r="W77" s="160"/>
      <c r="X77" s="160"/>
      <c r="Y77" s="160"/>
      <c r="Z77" s="160"/>
      <c r="AA77" s="243"/>
      <c r="AB77" s="236"/>
    </row>
    <row r="78" spans="1:28" ht="18.75" customHeight="1" thickBot="1">
      <c r="A78" s="236"/>
      <c r="B78" s="241"/>
      <c r="C78" s="236"/>
      <c r="D78" s="275" t="s">
        <v>107</v>
      </c>
      <c r="E78" s="279">
        <f>E76*E77</f>
        <v>32.619999999999997</v>
      </c>
      <c r="F78" s="274" t="s">
        <v>108</v>
      </c>
      <c r="G78" s="160"/>
      <c r="H78" s="160"/>
      <c r="I78" s="160"/>
      <c r="J78" s="160"/>
      <c r="K78" s="160"/>
      <c r="L78" s="160"/>
      <c r="M78" s="160"/>
      <c r="N78" s="160"/>
      <c r="O78" s="160"/>
      <c r="P78" s="160"/>
      <c r="Q78" s="160"/>
      <c r="R78" s="160"/>
      <c r="S78" s="160"/>
      <c r="T78" s="160"/>
      <c r="U78" s="160"/>
      <c r="V78" s="160"/>
      <c r="W78" s="160"/>
      <c r="X78" s="160"/>
      <c r="Y78" s="160"/>
      <c r="Z78" s="160"/>
      <c r="AA78" s="243"/>
      <c r="AB78" s="236"/>
    </row>
    <row r="79" spans="1:28" ht="14.25" thickBot="1">
      <c r="A79" s="236"/>
      <c r="B79" s="241"/>
      <c r="C79" s="117"/>
      <c r="D79" s="215"/>
      <c r="E79" s="215"/>
      <c r="F79" s="162"/>
      <c r="G79" s="162"/>
      <c r="H79" s="160"/>
      <c r="I79" s="162"/>
      <c r="J79" s="162"/>
      <c r="K79" s="162"/>
      <c r="L79" s="160"/>
      <c r="M79" s="160"/>
      <c r="N79" s="160"/>
      <c r="O79" s="160"/>
      <c r="P79" s="160"/>
      <c r="Q79" s="160"/>
      <c r="R79" s="160"/>
      <c r="S79" s="160"/>
      <c r="T79" s="160"/>
      <c r="U79" s="160"/>
      <c r="V79" s="160"/>
      <c r="W79" s="160"/>
      <c r="X79" s="160"/>
      <c r="Y79" s="160"/>
      <c r="Z79" s="160"/>
      <c r="AA79" s="243"/>
      <c r="AB79" s="236"/>
    </row>
    <row r="80" spans="1:28" ht="19.5">
      <c r="A80" s="236"/>
      <c r="B80" s="241"/>
      <c r="C80" s="236"/>
      <c r="D80" s="280" t="s">
        <v>109</v>
      </c>
      <c r="E80" s="281" t="s">
        <v>110</v>
      </c>
      <c r="F80" s="281" t="s">
        <v>111</v>
      </c>
      <c r="G80" s="282" t="s">
        <v>112</v>
      </c>
      <c r="H80" s="236"/>
      <c r="I80" s="283" t="s">
        <v>113</v>
      </c>
      <c r="J80" s="284" t="s">
        <v>114</v>
      </c>
      <c r="K80" s="285" t="s">
        <v>1081</v>
      </c>
      <c r="L80" s="117"/>
      <c r="M80" s="160"/>
      <c r="N80" s="160"/>
      <c r="O80" s="160"/>
      <c r="P80" s="160"/>
      <c r="Q80" s="160"/>
      <c r="R80" s="160"/>
      <c r="S80" s="160"/>
      <c r="T80" s="160"/>
      <c r="U80" s="160"/>
      <c r="V80" s="160"/>
      <c r="W80" s="160"/>
      <c r="X80" s="160"/>
      <c r="Y80" s="160"/>
      <c r="Z80" s="160"/>
      <c r="AA80" s="243"/>
      <c r="AB80" s="236"/>
    </row>
    <row r="81" spans="1:28" ht="15">
      <c r="A81" s="236"/>
      <c r="B81" s="241"/>
      <c r="C81" s="236"/>
      <c r="D81" s="252">
        <v>1</v>
      </c>
      <c r="E81" s="286">
        <v>32</v>
      </c>
      <c r="F81" s="287">
        <f>0.02*E74</f>
        <v>2758.6206896551721</v>
      </c>
      <c r="G81" s="288">
        <f t="shared" ref="G81:G98" si="0">F81/$F$98</f>
        <v>0.34482758620689657</v>
      </c>
      <c r="H81" s="236"/>
      <c r="I81" s="289">
        <v>1</v>
      </c>
      <c r="J81" s="290">
        <f>E81+$E$78</f>
        <v>64.62</v>
      </c>
      <c r="K81" s="291">
        <f t="shared" ref="K81:K97" si="1">$F$99*G81</f>
        <v>1.9999999999999997E-2</v>
      </c>
      <c r="L81" s="117"/>
      <c r="M81" s="160"/>
      <c r="N81" s="160"/>
      <c r="O81" s="160"/>
      <c r="P81" s="160"/>
      <c r="Q81" s="160"/>
      <c r="R81" s="160"/>
      <c r="S81" s="160"/>
      <c r="T81" s="160"/>
      <c r="U81" s="160"/>
      <c r="V81" s="160"/>
      <c r="W81" s="160"/>
      <c r="X81" s="160"/>
      <c r="Y81" s="160"/>
      <c r="Z81" s="160"/>
      <c r="AA81" s="243"/>
      <c r="AB81" s="236"/>
    </row>
    <row r="82" spans="1:28" ht="15">
      <c r="A82" s="236"/>
      <c r="B82" s="241"/>
      <c r="C82" s="236"/>
      <c r="D82" s="252">
        <v>2</v>
      </c>
      <c r="E82" s="286">
        <v>60</v>
      </c>
      <c r="F82" s="287">
        <f>0.015*E74</f>
        <v>2068.9655172413791</v>
      </c>
      <c r="G82" s="288">
        <f t="shared" si="0"/>
        <v>0.25862068965517243</v>
      </c>
      <c r="H82" s="236"/>
      <c r="I82" s="289">
        <v>2</v>
      </c>
      <c r="J82" s="290">
        <f>E82+$E$78</f>
        <v>92.62</v>
      </c>
      <c r="K82" s="291">
        <f t="shared" si="1"/>
        <v>1.4999999999999998E-2</v>
      </c>
      <c r="L82" s="117"/>
      <c r="M82" s="160"/>
      <c r="N82" s="160"/>
      <c r="O82" s="160"/>
      <c r="P82" s="160"/>
      <c r="Q82" s="160"/>
      <c r="R82" s="160"/>
      <c r="S82" s="160"/>
      <c r="T82" s="160"/>
      <c r="U82" s="160"/>
      <c r="V82" s="160"/>
      <c r="W82" s="160"/>
      <c r="X82" s="160"/>
      <c r="Y82" s="160"/>
      <c r="Z82" s="160"/>
      <c r="AA82" s="243"/>
      <c r="AB82" s="236"/>
    </row>
    <row r="83" spans="1:28" ht="15">
      <c r="A83" s="236"/>
      <c r="B83" s="241"/>
      <c r="C83" s="236"/>
      <c r="D83" s="252">
        <v>3</v>
      </c>
      <c r="E83" s="286">
        <v>85</v>
      </c>
      <c r="F83" s="287">
        <f>0.023*E74</f>
        <v>3172.4137931034479</v>
      </c>
      <c r="G83" s="288">
        <f t="shared" si="0"/>
        <v>0.39655172413793111</v>
      </c>
      <c r="H83" s="236"/>
      <c r="I83" s="289">
        <v>3</v>
      </c>
      <c r="J83" s="290">
        <f t="shared" ref="J83:J97" si="2">E83+$E$78</f>
        <v>117.62</v>
      </c>
      <c r="K83" s="291">
        <f t="shared" si="1"/>
        <v>2.3E-2</v>
      </c>
      <c r="L83" s="117"/>
      <c r="M83" s="160"/>
      <c r="N83" s="160"/>
      <c r="O83" s="160"/>
      <c r="P83" s="160"/>
      <c r="Q83" s="160"/>
      <c r="R83" s="160"/>
      <c r="S83" s="160"/>
      <c r="T83" s="160"/>
      <c r="U83" s="160"/>
      <c r="V83" s="160"/>
      <c r="W83" s="160"/>
      <c r="X83" s="160"/>
      <c r="Y83" s="160"/>
      <c r="Z83" s="160"/>
      <c r="AA83" s="243"/>
      <c r="AB83" s="236"/>
    </row>
    <row r="84" spans="1:28" ht="15">
      <c r="A84" s="236"/>
      <c r="B84" s="241"/>
      <c r="C84" s="236"/>
      <c r="D84" s="252">
        <v>4</v>
      </c>
      <c r="E84" s="286"/>
      <c r="F84" s="287"/>
      <c r="G84" s="288">
        <f t="shared" si="0"/>
        <v>0</v>
      </c>
      <c r="H84" s="236"/>
      <c r="I84" s="289">
        <v>4</v>
      </c>
      <c r="J84" s="290">
        <f t="shared" si="2"/>
        <v>32.619999999999997</v>
      </c>
      <c r="K84" s="291">
        <f t="shared" si="1"/>
        <v>0</v>
      </c>
      <c r="L84" s="117"/>
      <c r="M84" s="160"/>
      <c r="N84" s="160"/>
      <c r="O84" s="160"/>
      <c r="P84" s="160"/>
      <c r="Q84" s="160"/>
      <c r="R84" s="160"/>
      <c r="S84" s="160"/>
      <c r="T84" s="160"/>
      <c r="U84" s="160"/>
      <c r="V84" s="160"/>
      <c r="W84" s="160"/>
      <c r="X84" s="160"/>
      <c r="Y84" s="160"/>
      <c r="Z84" s="160"/>
      <c r="AA84" s="243"/>
      <c r="AB84" s="236"/>
    </row>
    <row r="85" spans="1:28" ht="15">
      <c r="A85" s="236"/>
      <c r="B85" s="241"/>
      <c r="C85" s="236"/>
      <c r="D85" s="252">
        <v>5</v>
      </c>
      <c r="E85" s="286"/>
      <c r="F85" s="287"/>
      <c r="G85" s="288">
        <f t="shared" si="0"/>
        <v>0</v>
      </c>
      <c r="H85" s="236"/>
      <c r="I85" s="289">
        <v>5</v>
      </c>
      <c r="J85" s="290">
        <f t="shared" si="2"/>
        <v>32.619999999999997</v>
      </c>
      <c r="K85" s="291">
        <f t="shared" si="1"/>
        <v>0</v>
      </c>
      <c r="L85" s="117"/>
      <c r="M85" s="160"/>
      <c r="N85" s="160"/>
      <c r="O85" s="160"/>
      <c r="P85" s="160"/>
      <c r="Q85" s="160"/>
      <c r="R85" s="160"/>
      <c r="S85" s="160"/>
      <c r="T85" s="160"/>
      <c r="U85" s="160"/>
      <c r="V85" s="160"/>
      <c r="W85" s="160"/>
      <c r="X85" s="160"/>
      <c r="Y85" s="160"/>
      <c r="Z85" s="160"/>
      <c r="AA85" s="243"/>
      <c r="AB85" s="236"/>
    </row>
    <row r="86" spans="1:28" ht="15">
      <c r="A86" s="236"/>
      <c r="B86" s="241"/>
      <c r="C86" s="236"/>
      <c r="D86" s="252">
        <v>6</v>
      </c>
      <c r="E86" s="286"/>
      <c r="F86" s="287"/>
      <c r="G86" s="288">
        <f t="shared" si="0"/>
        <v>0</v>
      </c>
      <c r="H86" s="236"/>
      <c r="I86" s="289">
        <v>6</v>
      </c>
      <c r="J86" s="290">
        <f t="shared" si="2"/>
        <v>32.619999999999997</v>
      </c>
      <c r="K86" s="291">
        <f t="shared" si="1"/>
        <v>0</v>
      </c>
      <c r="L86" s="117"/>
      <c r="M86" s="160"/>
      <c r="N86" s="160"/>
      <c r="O86" s="160"/>
      <c r="P86" s="160"/>
      <c r="Q86" s="160"/>
      <c r="R86" s="160"/>
      <c r="S86" s="160"/>
      <c r="T86" s="160"/>
      <c r="U86" s="160"/>
      <c r="V86" s="160"/>
      <c r="W86" s="160"/>
      <c r="X86" s="160"/>
      <c r="Y86" s="160"/>
      <c r="Z86" s="160"/>
      <c r="AA86" s="243"/>
      <c r="AB86" s="236"/>
    </row>
    <row r="87" spans="1:28" ht="15">
      <c r="A87" s="236"/>
      <c r="B87" s="241"/>
      <c r="C87" s="236"/>
      <c r="D87" s="252">
        <v>7</v>
      </c>
      <c r="E87" s="286"/>
      <c r="F87" s="287"/>
      <c r="G87" s="288">
        <f t="shared" si="0"/>
        <v>0</v>
      </c>
      <c r="H87" s="236"/>
      <c r="I87" s="289">
        <v>7</v>
      </c>
      <c r="J87" s="290">
        <f t="shared" si="2"/>
        <v>32.619999999999997</v>
      </c>
      <c r="K87" s="291">
        <f t="shared" si="1"/>
        <v>0</v>
      </c>
      <c r="L87" s="117"/>
      <c r="M87" s="160"/>
      <c r="N87" s="160"/>
      <c r="O87" s="160"/>
      <c r="P87" s="160"/>
      <c r="Q87" s="160"/>
      <c r="R87" s="160"/>
      <c r="S87" s="160"/>
      <c r="T87" s="160"/>
      <c r="U87" s="160"/>
      <c r="V87" s="160"/>
      <c r="W87" s="160"/>
      <c r="X87" s="160"/>
      <c r="Y87" s="160"/>
      <c r="Z87" s="160"/>
      <c r="AA87" s="243"/>
      <c r="AB87" s="236"/>
    </row>
    <row r="88" spans="1:28" ht="15">
      <c r="A88" s="236"/>
      <c r="B88" s="241"/>
      <c r="C88" s="236"/>
      <c r="D88" s="252">
        <v>8</v>
      </c>
      <c r="E88" s="286"/>
      <c r="F88" s="287"/>
      <c r="G88" s="288">
        <f t="shared" si="0"/>
        <v>0</v>
      </c>
      <c r="H88" s="236"/>
      <c r="I88" s="289">
        <v>8</v>
      </c>
      <c r="J88" s="290">
        <f t="shared" si="2"/>
        <v>32.619999999999997</v>
      </c>
      <c r="K88" s="291">
        <f t="shared" si="1"/>
        <v>0</v>
      </c>
      <c r="L88" s="117"/>
      <c r="M88" s="160"/>
      <c r="N88" s="160"/>
      <c r="O88" s="160"/>
      <c r="P88" s="160"/>
      <c r="Q88" s="160"/>
      <c r="R88" s="160"/>
      <c r="S88" s="160"/>
      <c r="T88" s="160"/>
      <c r="U88" s="160"/>
      <c r="V88" s="160"/>
      <c r="W88" s="160"/>
      <c r="X88" s="160"/>
      <c r="Y88" s="160"/>
      <c r="Z88" s="160"/>
      <c r="AA88" s="243"/>
      <c r="AB88" s="236"/>
    </row>
    <row r="89" spans="1:28" ht="15">
      <c r="A89" s="236"/>
      <c r="B89" s="241"/>
      <c r="C89" s="236"/>
      <c r="D89" s="252">
        <v>9</v>
      </c>
      <c r="E89" s="286"/>
      <c r="F89" s="287"/>
      <c r="G89" s="288">
        <f t="shared" si="0"/>
        <v>0</v>
      </c>
      <c r="H89" s="236"/>
      <c r="I89" s="289">
        <v>9</v>
      </c>
      <c r="J89" s="290">
        <f t="shared" si="2"/>
        <v>32.619999999999997</v>
      </c>
      <c r="K89" s="291">
        <f t="shared" si="1"/>
        <v>0</v>
      </c>
      <c r="L89" s="117"/>
      <c r="M89" s="160"/>
      <c r="N89" s="160"/>
      <c r="O89" s="160"/>
      <c r="P89" s="160"/>
      <c r="Q89" s="160"/>
      <c r="R89" s="160"/>
      <c r="S89" s="160"/>
      <c r="T89" s="160"/>
      <c r="U89" s="160"/>
      <c r="V89" s="160"/>
      <c r="W89" s="160"/>
      <c r="X89" s="160"/>
      <c r="Y89" s="160"/>
      <c r="Z89" s="160"/>
      <c r="AA89" s="243"/>
      <c r="AB89" s="236"/>
    </row>
    <row r="90" spans="1:28" ht="15">
      <c r="A90" s="236"/>
      <c r="B90" s="241"/>
      <c r="C90" s="236"/>
      <c r="D90" s="252">
        <v>10</v>
      </c>
      <c r="E90" s="286"/>
      <c r="F90" s="287"/>
      <c r="G90" s="288">
        <f t="shared" si="0"/>
        <v>0</v>
      </c>
      <c r="H90" s="236"/>
      <c r="I90" s="289">
        <v>10</v>
      </c>
      <c r="J90" s="290">
        <f t="shared" si="2"/>
        <v>32.619999999999997</v>
      </c>
      <c r="K90" s="291">
        <f t="shared" si="1"/>
        <v>0</v>
      </c>
      <c r="L90" s="117"/>
      <c r="M90" s="160"/>
      <c r="N90" s="160"/>
      <c r="O90" s="160"/>
      <c r="P90" s="160"/>
      <c r="Q90" s="160"/>
      <c r="R90" s="160"/>
      <c r="S90" s="160"/>
      <c r="T90" s="160"/>
      <c r="U90" s="160"/>
      <c r="V90" s="160"/>
      <c r="W90" s="160"/>
      <c r="X90" s="160"/>
      <c r="Y90" s="160"/>
      <c r="Z90" s="160"/>
      <c r="AA90" s="243"/>
      <c r="AB90" s="236"/>
    </row>
    <row r="91" spans="1:28" ht="15">
      <c r="A91" s="236"/>
      <c r="B91" s="241"/>
      <c r="C91" s="236"/>
      <c r="D91" s="252">
        <v>11</v>
      </c>
      <c r="E91" s="286"/>
      <c r="F91" s="287"/>
      <c r="G91" s="288">
        <f t="shared" si="0"/>
        <v>0</v>
      </c>
      <c r="H91" s="236"/>
      <c r="I91" s="289">
        <v>11</v>
      </c>
      <c r="J91" s="290">
        <f t="shared" si="2"/>
        <v>32.619999999999997</v>
      </c>
      <c r="K91" s="291">
        <f t="shared" si="1"/>
        <v>0</v>
      </c>
      <c r="L91" s="117"/>
      <c r="M91" s="160"/>
      <c r="N91" s="160"/>
      <c r="O91" s="160"/>
      <c r="P91" s="160"/>
      <c r="Q91" s="160"/>
      <c r="R91" s="160"/>
      <c r="S91" s="160"/>
      <c r="T91" s="160"/>
      <c r="U91" s="160"/>
      <c r="V91" s="160"/>
      <c r="W91" s="160"/>
      <c r="X91" s="160"/>
      <c r="Y91" s="160"/>
      <c r="Z91" s="160"/>
      <c r="AA91" s="243"/>
      <c r="AB91" s="236"/>
    </row>
    <row r="92" spans="1:28" ht="15">
      <c r="A92" s="236"/>
      <c r="B92" s="241"/>
      <c r="C92" s="236"/>
      <c r="D92" s="252">
        <v>12</v>
      </c>
      <c r="E92" s="286"/>
      <c r="F92" s="287"/>
      <c r="G92" s="288">
        <f t="shared" si="0"/>
        <v>0</v>
      </c>
      <c r="H92" s="236"/>
      <c r="I92" s="289">
        <v>12</v>
      </c>
      <c r="J92" s="290">
        <f t="shared" si="2"/>
        <v>32.619999999999997</v>
      </c>
      <c r="K92" s="291">
        <f t="shared" si="1"/>
        <v>0</v>
      </c>
      <c r="L92" s="117"/>
      <c r="M92" s="160"/>
      <c r="N92" s="160"/>
      <c r="O92" s="160"/>
      <c r="P92" s="160"/>
      <c r="Q92" s="160"/>
      <c r="R92" s="160"/>
      <c r="S92" s="160"/>
      <c r="T92" s="160"/>
      <c r="U92" s="160"/>
      <c r="V92" s="160"/>
      <c r="W92" s="160"/>
      <c r="X92" s="160"/>
      <c r="Y92" s="160"/>
      <c r="Z92" s="160"/>
      <c r="AA92" s="243"/>
      <c r="AB92" s="236"/>
    </row>
    <row r="93" spans="1:28" ht="15">
      <c r="A93" s="236"/>
      <c r="B93" s="241"/>
      <c r="C93" s="236"/>
      <c r="D93" s="252">
        <v>13</v>
      </c>
      <c r="E93" s="286"/>
      <c r="F93" s="287"/>
      <c r="G93" s="288">
        <f t="shared" si="0"/>
        <v>0</v>
      </c>
      <c r="H93" s="236"/>
      <c r="I93" s="289">
        <v>13</v>
      </c>
      <c r="J93" s="290">
        <f t="shared" si="2"/>
        <v>32.619999999999997</v>
      </c>
      <c r="K93" s="291">
        <f t="shared" si="1"/>
        <v>0</v>
      </c>
      <c r="L93" s="117"/>
      <c r="M93" s="160"/>
      <c r="N93" s="160"/>
      <c r="O93" s="160"/>
      <c r="P93" s="160"/>
      <c r="Q93" s="160"/>
      <c r="R93" s="160"/>
      <c r="S93" s="160"/>
      <c r="T93" s="160"/>
      <c r="U93" s="160"/>
      <c r="V93" s="160"/>
      <c r="W93" s="160"/>
      <c r="X93" s="160"/>
      <c r="Y93" s="160"/>
      <c r="Z93" s="160"/>
      <c r="AA93" s="243"/>
      <c r="AB93" s="236"/>
    </row>
    <row r="94" spans="1:28" ht="15">
      <c r="A94" s="236"/>
      <c r="B94" s="241"/>
      <c r="C94" s="236"/>
      <c r="D94" s="252">
        <v>14</v>
      </c>
      <c r="E94" s="286"/>
      <c r="F94" s="287"/>
      <c r="G94" s="288">
        <f t="shared" si="0"/>
        <v>0</v>
      </c>
      <c r="H94" s="236"/>
      <c r="I94" s="289">
        <v>14</v>
      </c>
      <c r="J94" s="290">
        <f t="shared" si="2"/>
        <v>32.619999999999997</v>
      </c>
      <c r="K94" s="291">
        <f t="shared" si="1"/>
        <v>0</v>
      </c>
      <c r="L94" s="117"/>
      <c r="M94" s="160"/>
      <c r="N94" s="160"/>
      <c r="O94" s="160"/>
      <c r="P94" s="160"/>
      <c r="Q94" s="160"/>
      <c r="R94" s="160"/>
      <c r="S94" s="160"/>
      <c r="T94" s="160"/>
      <c r="U94" s="160"/>
      <c r="V94" s="160"/>
      <c r="W94" s="160"/>
      <c r="X94" s="160"/>
      <c r="Y94" s="160"/>
      <c r="Z94" s="160"/>
      <c r="AA94" s="243"/>
      <c r="AB94" s="236"/>
    </row>
    <row r="95" spans="1:28" ht="15">
      <c r="A95" s="236"/>
      <c r="B95" s="241"/>
      <c r="C95" s="236"/>
      <c r="D95" s="252">
        <v>15</v>
      </c>
      <c r="E95" s="286"/>
      <c r="F95" s="287"/>
      <c r="G95" s="288">
        <f t="shared" si="0"/>
        <v>0</v>
      </c>
      <c r="H95" s="236"/>
      <c r="I95" s="289">
        <v>15</v>
      </c>
      <c r="J95" s="290">
        <f t="shared" si="2"/>
        <v>32.619999999999997</v>
      </c>
      <c r="K95" s="291">
        <f t="shared" si="1"/>
        <v>0</v>
      </c>
      <c r="L95" s="117"/>
      <c r="M95" s="160"/>
      <c r="N95" s="160"/>
      <c r="O95" s="160"/>
      <c r="P95" s="160"/>
      <c r="Q95" s="160"/>
      <c r="R95" s="160"/>
      <c r="S95" s="160"/>
      <c r="T95" s="160"/>
      <c r="U95" s="160"/>
      <c r="V95" s="160"/>
      <c r="W95" s="160"/>
      <c r="X95" s="160"/>
      <c r="Y95" s="160"/>
      <c r="Z95" s="160"/>
      <c r="AA95" s="243"/>
      <c r="AB95" s="236"/>
    </row>
    <row r="96" spans="1:28" ht="15">
      <c r="A96" s="236"/>
      <c r="B96" s="241"/>
      <c r="C96" s="236"/>
      <c r="D96" s="252">
        <v>16</v>
      </c>
      <c r="E96" s="286"/>
      <c r="F96" s="287"/>
      <c r="G96" s="288">
        <f t="shared" si="0"/>
        <v>0</v>
      </c>
      <c r="H96" s="236"/>
      <c r="I96" s="289">
        <v>16</v>
      </c>
      <c r="J96" s="290">
        <f t="shared" si="2"/>
        <v>32.619999999999997</v>
      </c>
      <c r="K96" s="291">
        <f t="shared" si="1"/>
        <v>0</v>
      </c>
      <c r="L96" s="117"/>
      <c r="M96" s="160"/>
      <c r="N96" s="160"/>
      <c r="O96" s="160"/>
      <c r="P96" s="160"/>
      <c r="Q96" s="160"/>
      <c r="R96" s="160"/>
      <c r="S96" s="160"/>
      <c r="T96" s="160"/>
      <c r="U96" s="160"/>
      <c r="V96" s="160"/>
      <c r="W96" s="160"/>
      <c r="X96" s="160"/>
      <c r="Y96" s="160"/>
      <c r="Z96" s="160"/>
      <c r="AA96" s="243"/>
      <c r="AB96" s="236"/>
    </row>
    <row r="97" spans="1:28" ht="15">
      <c r="A97" s="236"/>
      <c r="B97" s="241"/>
      <c r="C97" s="236"/>
      <c r="D97" s="252">
        <v>17</v>
      </c>
      <c r="E97" s="286"/>
      <c r="F97" s="287"/>
      <c r="G97" s="288">
        <f t="shared" si="0"/>
        <v>0</v>
      </c>
      <c r="H97" s="236"/>
      <c r="I97" s="289">
        <v>17</v>
      </c>
      <c r="J97" s="290">
        <f t="shared" si="2"/>
        <v>32.619999999999997</v>
      </c>
      <c r="K97" s="291">
        <f t="shared" si="1"/>
        <v>0</v>
      </c>
      <c r="L97" s="117"/>
      <c r="M97" s="160"/>
      <c r="N97" s="160"/>
      <c r="O97" s="160"/>
      <c r="P97" s="160"/>
      <c r="Q97" s="160"/>
      <c r="R97" s="160"/>
      <c r="S97" s="160"/>
      <c r="T97" s="160"/>
      <c r="U97" s="160"/>
      <c r="V97" s="160"/>
      <c r="W97" s="160"/>
      <c r="X97" s="160"/>
      <c r="Y97" s="160"/>
      <c r="Z97" s="160"/>
      <c r="AA97" s="243"/>
      <c r="AB97" s="236"/>
    </row>
    <row r="98" spans="1:28" ht="17.25" customHeight="1">
      <c r="A98" s="236"/>
      <c r="B98" s="241"/>
      <c r="C98" s="236"/>
      <c r="D98" s="848" t="s">
        <v>115</v>
      </c>
      <c r="E98" s="849"/>
      <c r="F98" s="292">
        <f>SUM(F81:F97)</f>
        <v>7999.9999999999982</v>
      </c>
      <c r="G98" s="288">
        <f t="shared" si="0"/>
        <v>1</v>
      </c>
      <c r="H98" s="236"/>
      <c r="I98" s="850" t="s">
        <v>116</v>
      </c>
      <c r="J98" s="851"/>
      <c r="K98" s="291">
        <f>SUM(K81:K97)</f>
        <v>5.7999999999999996E-2</v>
      </c>
      <c r="L98" s="117"/>
      <c r="M98" s="160"/>
      <c r="N98" s="160"/>
      <c r="O98" s="160"/>
      <c r="P98" s="160"/>
      <c r="Q98" s="160"/>
      <c r="R98" s="160"/>
      <c r="S98" s="160"/>
      <c r="T98" s="160"/>
      <c r="U98" s="160"/>
      <c r="V98" s="160"/>
      <c r="W98" s="160"/>
      <c r="X98" s="160"/>
      <c r="Y98" s="160"/>
      <c r="Z98" s="160"/>
      <c r="AA98" s="243"/>
      <c r="AB98" s="236"/>
    </row>
    <row r="99" spans="1:28" ht="17.25" customHeight="1" thickBot="1">
      <c r="A99" s="236"/>
      <c r="B99" s="241"/>
      <c r="C99" s="236"/>
      <c r="D99" s="852" t="s">
        <v>117</v>
      </c>
      <c r="E99" s="853"/>
      <c r="F99" s="856">
        <f>F98/E74</f>
        <v>5.7999999999999989E-2</v>
      </c>
      <c r="G99" s="857"/>
      <c r="H99" s="236"/>
      <c r="I99" s="854" t="s">
        <v>118</v>
      </c>
      <c r="J99" s="855"/>
      <c r="K99" s="293">
        <f>1-K98</f>
        <v>0.94199999999999995</v>
      </c>
      <c r="L99" s="117"/>
      <c r="M99" s="160"/>
      <c r="N99" s="160"/>
      <c r="O99" s="160"/>
      <c r="P99" s="160"/>
      <c r="Q99" s="160"/>
      <c r="R99" s="160"/>
      <c r="S99" s="160"/>
      <c r="T99" s="160"/>
      <c r="U99" s="160"/>
      <c r="V99" s="160"/>
      <c r="W99" s="160"/>
      <c r="X99" s="160"/>
      <c r="Y99" s="160"/>
      <c r="Z99" s="160"/>
      <c r="AA99" s="243"/>
      <c r="AB99" s="236"/>
    </row>
    <row r="100" spans="1:28">
      <c r="A100" s="236"/>
      <c r="B100" s="241"/>
      <c r="C100" s="117"/>
      <c r="D100" s="214"/>
      <c r="E100" s="214"/>
      <c r="F100" s="214"/>
      <c r="G100" s="214"/>
      <c r="H100" s="160"/>
      <c r="I100" s="214"/>
      <c r="J100" s="214"/>
      <c r="K100" s="214"/>
      <c r="L100" s="160"/>
      <c r="M100" s="160"/>
      <c r="N100" s="160"/>
      <c r="O100" s="160"/>
      <c r="P100" s="160"/>
      <c r="Q100" s="160"/>
      <c r="R100" s="160"/>
      <c r="S100" s="160"/>
      <c r="T100" s="160"/>
      <c r="U100" s="160"/>
      <c r="V100" s="160"/>
      <c r="W100" s="160"/>
      <c r="X100" s="160"/>
      <c r="Y100" s="160"/>
      <c r="Z100" s="160"/>
      <c r="AA100" s="243"/>
      <c r="AB100" s="236"/>
    </row>
    <row r="101" spans="1:28">
      <c r="A101" s="236"/>
      <c r="B101" s="241"/>
      <c r="C101" s="117"/>
      <c r="D101" s="160"/>
      <c r="E101" s="160"/>
      <c r="F101" s="160"/>
      <c r="G101" s="160"/>
      <c r="H101" s="160"/>
      <c r="I101" s="160"/>
      <c r="J101" s="160"/>
      <c r="K101" s="160"/>
      <c r="L101" s="160"/>
      <c r="M101" s="160"/>
      <c r="N101" s="160"/>
      <c r="O101" s="160"/>
      <c r="P101" s="160"/>
      <c r="Q101" s="160"/>
      <c r="R101" s="160"/>
      <c r="S101" s="160"/>
      <c r="T101" s="160"/>
      <c r="U101" s="160"/>
      <c r="V101" s="160"/>
      <c r="W101" s="160"/>
      <c r="X101" s="160"/>
      <c r="Y101" s="160"/>
      <c r="Z101" s="160"/>
      <c r="AA101" s="243"/>
      <c r="AB101" s="236"/>
    </row>
    <row r="102" spans="1:28">
      <c r="A102" s="236"/>
      <c r="B102" s="241"/>
      <c r="C102" s="117"/>
      <c r="D102" s="160"/>
      <c r="E102" s="160"/>
      <c r="F102" s="160"/>
      <c r="G102" s="160"/>
      <c r="H102" s="160"/>
      <c r="I102" s="160"/>
      <c r="J102" s="160"/>
      <c r="K102" s="160"/>
      <c r="L102" s="160"/>
      <c r="M102" s="160"/>
      <c r="N102" s="160"/>
      <c r="O102" s="160"/>
      <c r="P102" s="160"/>
      <c r="Q102" s="160"/>
      <c r="R102" s="160"/>
      <c r="S102" s="160"/>
      <c r="T102" s="160"/>
      <c r="U102" s="160"/>
      <c r="V102" s="160"/>
      <c r="W102" s="160"/>
      <c r="X102" s="160"/>
      <c r="Y102" s="160"/>
      <c r="Z102" s="160"/>
      <c r="AA102" s="243"/>
      <c r="AB102" s="236"/>
    </row>
    <row r="103" spans="1:28">
      <c r="A103" s="236"/>
      <c r="B103" s="241"/>
      <c r="C103" s="117"/>
      <c r="D103" s="160"/>
      <c r="E103" s="160"/>
      <c r="F103" s="160"/>
      <c r="G103" s="160"/>
      <c r="H103" s="160"/>
      <c r="I103" s="160"/>
      <c r="J103" s="160"/>
      <c r="K103" s="160"/>
      <c r="L103" s="160"/>
      <c r="M103" s="160"/>
      <c r="N103" s="160"/>
      <c r="O103" s="160"/>
      <c r="P103" s="160"/>
      <c r="Q103" s="160"/>
      <c r="R103" s="160"/>
      <c r="S103" s="160"/>
      <c r="T103" s="160"/>
      <c r="U103" s="160"/>
      <c r="V103" s="160"/>
      <c r="W103" s="160"/>
      <c r="X103" s="160"/>
      <c r="Y103" s="160"/>
      <c r="Z103" s="160"/>
      <c r="AA103" s="243"/>
      <c r="AB103" s="236"/>
    </row>
    <row r="104" spans="1:28" ht="21" customHeight="1" thickBot="1">
      <c r="A104" s="236"/>
      <c r="B104" s="241"/>
      <c r="C104" s="265" t="s">
        <v>96</v>
      </c>
      <c r="D104" s="162"/>
      <c r="E104" s="162"/>
      <c r="F104" s="160"/>
      <c r="G104" s="160"/>
      <c r="H104" s="160"/>
      <c r="I104" s="160"/>
      <c r="J104" s="160"/>
      <c r="K104" s="160"/>
      <c r="L104" s="160"/>
      <c r="M104" s="160"/>
      <c r="N104" s="160"/>
      <c r="O104" s="160"/>
      <c r="P104" s="160"/>
      <c r="Q104" s="160"/>
      <c r="R104" s="160"/>
      <c r="S104" s="160"/>
      <c r="T104" s="160"/>
      <c r="U104" s="160"/>
      <c r="V104" s="160"/>
      <c r="W104" s="160"/>
      <c r="X104" s="160"/>
      <c r="Y104" s="160"/>
      <c r="Z104" s="160"/>
      <c r="AA104" s="243"/>
      <c r="AB104" s="236"/>
    </row>
    <row r="105" spans="1:28" ht="21" customHeight="1" thickBot="1">
      <c r="A105" s="236"/>
      <c r="B105" s="241"/>
      <c r="C105" s="236"/>
      <c r="D105" s="272" t="s">
        <v>119</v>
      </c>
      <c r="E105" s="246">
        <v>0.4</v>
      </c>
      <c r="F105" s="267" t="s">
        <v>120</v>
      </c>
      <c r="G105" s="261" t="s">
        <v>121</v>
      </c>
      <c r="H105" s="162"/>
      <c r="I105" s="162"/>
      <c r="J105" s="160"/>
      <c r="K105" s="160"/>
      <c r="L105" s="160"/>
      <c r="M105" s="160"/>
      <c r="N105" s="160"/>
      <c r="O105" s="160"/>
      <c r="P105" s="160"/>
      <c r="Q105" s="160"/>
      <c r="R105" s="160"/>
      <c r="S105" s="160"/>
      <c r="T105" s="160"/>
      <c r="U105" s="160"/>
      <c r="V105" s="160"/>
      <c r="W105" s="160"/>
      <c r="X105" s="160"/>
      <c r="Y105" s="160"/>
      <c r="Z105" s="160"/>
      <c r="AA105" s="243"/>
      <c r="AB105" s="236"/>
    </row>
    <row r="106" spans="1:28" ht="21" customHeight="1">
      <c r="A106" s="236"/>
      <c r="B106" s="241"/>
      <c r="C106" s="236"/>
      <c r="D106" s="277" t="s">
        <v>122</v>
      </c>
      <c r="E106" s="294">
        <f>E105/(8.617*0.00001)</f>
        <v>4641.986770337704</v>
      </c>
      <c r="F106" s="267"/>
      <c r="G106" s="266"/>
      <c r="H106" s="845" t="s">
        <v>123</v>
      </c>
      <c r="I106" s="846"/>
      <c r="J106" s="117"/>
      <c r="K106" s="160"/>
      <c r="L106" s="160"/>
      <c r="M106" s="160"/>
      <c r="N106" s="160"/>
      <c r="O106" s="160"/>
      <c r="P106" s="160"/>
      <c r="Q106" s="160"/>
      <c r="R106" s="160"/>
      <c r="S106" s="160"/>
      <c r="T106" s="160"/>
      <c r="U106" s="160"/>
      <c r="V106" s="160"/>
      <c r="W106" s="160"/>
      <c r="X106" s="160"/>
      <c r="Y106" s="160"/>
      <c r="Z106" s="160"/>
      <c r="AA106" s="243"/>
      <c r="AB106" s="236"/>
    </row>
    <row r="107" spans="1:28" ht="21" customHeight="1">
      <c r="A107" s="236"/>
      <c r="B107" s="241"/>
      <c r="C107" s="236"/>
      <c r="D107" s="295" t="s">
        <v>1082</v>
      </c>
      <c r="E107" s="294">
        <f>EXP($E$106*(1/328-1/(273+J81)))</f>
        <v>1.496684607677784</v>
      </c>
      <c r="F107" s="117"/>
      <c r="G107" s="218"/>
      <c r="H107" s="295" t="s">
        <v>1083</v>
      </c>
      <c r="I107" s="296">
        <f>E107*K81</f>
        <v>2.9933692153555676E-2</v>
      </c>
      <c r="J107" s="117"/>
      <c r="K107" s="160"/>
      <c r="L107" s="160"/>
      <c r="M107" s="160"/>
      <c r="N107" s="160"/>
      <c r="O107" s="160"/>
      <c r="P107" s="160"/>
      <c r="Q107" s="160"/>
      <c r="R107" s="160"/>
      <c r="S107" s="160"/>
      <c r="T107" s="160"/>
      <c r="U107" s="160"/>
      <c r="V107" s="160"/>
      <c r="W107" s="160"/>
      <c r="X107" s="160"/>
      <c r="Y107" s="160"/>
      <c r="Z107" s="160"/>
      <c r="AA107" s="243"/>
      <c r="AB107" s="236"/>
    </row>
    <row r="108" spans="1:28" ht="21" customHeight="1">
      <c r="A108" s="236"/>
      <c r="B108" s="241"/>
      <c r="C108" s="236"/>
      <c r="D108" s="295" t="s">
        <v>1084</v>
      </c>
      <c r="E108" s="294">
        <f>EXP($E$106*(1/328-1/(273+J82)))</f>
        <v>4.2895973655446751</v>
      </c>
      <c r="F108" s="117"/>
      <c r="G108" s="218"/>
      <c r="H108" s="295" t="s">
        <v>1083</v>
      </c>
      <c r="I108" s="296">
        <f>E108*K82</f>
        <v>6.4343960483170121E-2</v>
      </c>
      <c r="J108" s="117"/>
      <c r="K108" s="160"/>
      <c r="L108" s="160"/>
      <c r="M108" s="160"/>
      <c r="N108" s="160"/>
      <c r="O108" s="160"/>
      <c r="P108" s="160"/>
      <c r="Q108" s="160"/>
      <c r="R108" s="160"/>
      <c r="S108" s="160"/>
      <c r="T108" s="160"/>
      <c r="U108" s="160"/>
      <c r="V108" s="160"/>
      <c r="W108" s="160"/>
      <c r="X108" s="160"/>
      <c r="Y108" s="160"/>
      <c r="Z108" s="160"/>
      <c r="AA108" s="243"/>
      <c r="AB108" s="236"/>
    </row>
    <row r="109" spans="1:28" ht="21" customHeight="1">
      <c r="A109" s="236"/>
      <c r="B109" s="241"/>
      <c r="C109" s="236"/>
      <c r="D109" s="295" t="s">
        <v>1085</v>
      </c>
      <c r="E109" s="294">
        <f t="shared" ref="E109:E123" si="3">EXP($E$106*(1/328-1/(273+J83)))</f>
        <v>9.6674101209030354</v>
      </c>
      <c r="F109" s="117"/>
      <c r="G109" s="218"/>
      <c r="H109" s="295" t="s">
        <v>1083</v>
      </c>
      <c r="I109" s="296">
        <f t="shared" ref="I109:I122" si="4">E109*K83</f>
        <v>0.22235043278076982</v>
      </c>
      <c r="J109" s="117"/>
      <c r="K109" s="160"/>
      <c r="L109" s="160"/>
      <c r="M109" s="160"/>
      <c r="N109" s="160"/>
      <c r="O109" s="160"/>
      <c r="P109" s="160"/>
      <c r="Q109" s="160"/>
      <c r="R109" s="160"/>
      <c r="S109" s="160"/>
      <c r="T109" s="160"/>
      <c r="U109" s="160"/>
      <c r="V109" s="160"/>
      <c r="W109" s="160"/>
      <c r="X109" s="160"/>
      <c r="Y109" s="160"/>
      <c r="Z109" s="160"/>
      <c r="AA109" s="243"/>
      <c r="AB109" s="236"/>
    </row>
    <row r="110" spans="1:28" ht="21" customHeight="1">
      <c r="A110" s="236"/>
      <c r="B110" s="241"/>
      <c r="C110" s="236"/>
      <c r="D110" s="295" t="s">
        <v>1086</v>
      </c>
      <c r="E110" s="294">
        <f t="shared" si="3"/>
        <v>0.35474552883509258</v>
      </c>
      <c r="F110" s="117"/>
      <c r="G110" s="218"/>
      <c r="H110" s="295" t="s">
        <v>1083</v>
      </c>
      <c r="I110" s="296">
        <f t="shared" si="4"/>
        <v>0</v>
      </c>
      <c r="J110" s="117"/>
      <c r="K110" s="160"/>
      <c r="L110" s="160"/>
      <c r="M110" s="160"/>
      <c r="N110" s="160"/>
      <c r="O110" s="160"/>
      <c r="P110" s="160"/>
      <c r="Q110" s="160"/>
      <c r="R110" s="160"/>
      <c r="S110" s="160"/>
      <c r="T110" s="160"/>
      <c r="U110" s="160"/>
      <c r="V110" s="160"/>
      <c r="W110" s="160"/>
      <c r="X110" s="160"/>
      <c r="Y110" s="160"/>
      <c r="Z110" s="160"/>
      <c r="AA110" s="243"/>
      <c r="AB110" s="236"/>
    </row>
    <row r="111" spans="1:28" ht="21" customHeight="1">
      <c r="A111" s="236"/>
      <c r="B111" s="241"/>
      <c r="C111" s="236"/>
      <c r="D111" s="295" t="s">
        <v>1087</v>
      </c>
      <c r="E111" s="294">
        <f t="shared" si="3"/>
        <v>0.35474552883509258</v>
      </c>
      <c r="F111" s="117"/>
      <c r="G111" s="218"/>
      <c r="H111" s="295" t="s">
        <v>1083</v>
      </c>
      <c r="I111" s="296">
        <f t="shared" si="4"/>
        <v>0</v>
      </c>
      <c r="J111" s="117"/>
      <c r="K111" s="160"/>
      <c r="L111" s="160"/>
      <c r="M111" s="160"/>
      <c r="N111" s="160"/>
      <c r="O111" s="160"/>
      <c r="P111" s="160"/>
      <c r="Q111" s="160"/>
      <c r="R111" s="160"/>
      <c r="S111" s="160"/>
      <c r="T111" s="160"/>
      <c r="U111" s="160"/>
      <c r="V111" s="160"/>
      <c r="W111" s="160"/>
      <c r="X111" s="160"/>
      <c r="Y111" s="160"/>
      <c r="Z111" s="160"/>
      <c r="AA111" s="243"/>
      <c r="AB111" s="236"/>
    </row>
    <row r="112" spans="1:28" ht="21" customHeight="1">
      <c r="A112" s="236"/>
      <c r="B112" s="241"/>
      <c r="C112" s="236"/>
      <c r="D112" s="295" t="s">
        <v>1088</v>
      </c>
      <c r="E112" s="294">
        <f t="shared" si="3"/>
        <v>0.35474552883509258</v>
      </c>
      <c r="F112" s="117"/>
      <c r="G112" s="218"/>
      <c r="H112" s="295" t="s">
        <v>1083</v>
      </c>
      <c r="I112" s="296">
        <f t="shared" si="4"/>
        <v>0</v>
      </c>
      <c r="J112" s="117"/>
      <c r="K112" s="160"/>
      <c r="L112" s="160"/>
      <c r="M112" s="160"/>
      <c r="N112" s="160"/>
      <c r="O112" s="160"/>
      <c r="P112" s="160"/>
      <c r="Q112" s="160"/>
      <c r="R112" s="160"/>
      <c r="S112" s="160"/>
      <c r="T112" s="160"/>
      <c r="U112" s="160"/>
      <c r="V112" s="160"/>
      <c r="W112" s="160"/>
      <c r="X112" s="160"/>
      <c r="Y112" s="160"/>
      <c r="Z112" s="160"/>
      <c r="AA112" s="243"/>
      <c r="AB112" s="236"/>
    </row>
    <row r="113" spans="1:28" ht="21" customHeight="1">
      <c r="A113" s="236"/>
      <c r="B113" s="241"/>
      <c r="C113" s="236"/>
      <c r="D113" s="295" t="s">
        <v>1089</v>
      </c>
      <c r="E113" s="294">
        <f t="shared" si="3"/>
        <v>0.35474552883509258</v>
      </c>
      <c r="F113" s="117"/>
      <c r="G113" s="218"/>
      <c r="H113" s="295" t="s">
        <v>1083</v>
      </c>
      <c r="I113" s="296">
        <f t="shared" si="4"/>
        <v>0</v>
      </c>
      <c r="J113" s="117"/>
      <c r="K113" s="160"/>
      <c r="L113" s="160"/>
      <c r="M113" s="160"/>
      <c r="N113" s="160"/>
      <c r="O113" s="160"/>
      <c r="P113" s="160"/>
      <c r="Q113" s="160"/>
      <c r="R113" s="160"/>
      <c r="S113" s="160"/>
      <c r="T113" s="160"/>
      <c r="U113" s="160"/>
      <c r="V113" s="160"/>
      <c r="W113" s="160"/>
      <c r="X113" s="160"/>
      <c r="Y113" s="160"/>
      <c r="Z113" s="160"/>
      <c r="AA113" s="243"/>
      <c r="AB113" s="236"/>
    </row>
    <row r="114" spans="1:28" ht="21" customHeight="1">
      <c r="A114" s="236"/>
      <c r="B114" s="241"/>
      <c r="C114" s="236"/>
      <c r="D114" s="295" t="s">
        <v>1090</v>
      </c>
      <c r="E114" s="294">
        <f t="shared" si="3"/>
        <v>0.35474552883509258</v>
      </c>
      <c r="F114" s="117"/>
      <c r="G114" s="218"/>
      <c r="H114" s="295" t="s">
        <v>1083</v>
      </c>
      <c r="I114" s="296">
        <f t="shared" si="4"/>
        <v>0</v>
      </c>
      <c r="J114" s="117"/>
      <c r="K114" s="160"/>
      <c r="L114" s="160"/>
      <c r="M114" s="160"/>
      <c r="N114" s="160"/>
      <c r="O114" s="160"/>
      <c r="P114" s="160"/>
      <c r="Q114" s="160"/>
      <c r="R114" s="160"/>
      <c r="S114" s="160"/>
      <c r="T114" s="160"/>
      <c r="U114" s="160"/>
      <c r="V114" s="160"/>
      <c r="W114" s="160"/>
      <c r="X114" s="160"/>
      <c r="Y114" s="160"/>
      <c r="Z114" s="160"/>
      <c r="AA114" s="243"/>
      <c r="AB114" s="236"/>
    </row>
    <row r="115" spans="1:28" ht="21" customHeight="1">
      <c r="A115" s="236"/>
      <c r="B115" s="241"/>
      <c r="C115" s="236"/>
      <c r="D115" s="295" t="s">
        <v>1091</v>
      </c>
      <c r="E115" s="294">
        <f t="shared" si="3"/>
        <v>0.35474552883509258</v>
      </c>
      <c r="F115" s="117"/>
      <c r="G115" s="218"/>
      <c r="H115" s="295" t="s">
        <v>1083</v>
      </c>
      <c r="I115" s="296">
        <f t="shared" si="4"/>
        <v>0</v>
      </c>
      <c r="J115" s="117"/>
      <c r="K115" s="160"/>
      <c r="L115" s="160"/>
      <c r="M115" s="160"/>
      <c r="N115" s="160"/>
      <c r="O115" s="160"/>
      <c r="P115" s="160"/>
      <c r="Q115" s="160"/>
      <c r="R115" s="160"/>
      <c r="S115" s="160"/>
      <c r="T115" s="160"/>
      <c r="U115" s="160"/>
      <c r="V115" s="160"/>
      <c r="W115" s="160"/>
      <c r="X115" s="160"/>
      <c r="Y115" s="160"/>
      <c r="Z115" s="160"/>
      <c r="AA115" s="243"/>
      <c r="AB115" s="236"/>
    </row>
    <row r="116" spans="1:28" ht="21" customHeight="1">
      <c r="A116" s="236"/>
      <c r="B116" s="241"/>
      <c r="C116" s="236"/>
      <c r="D116" s="295" t="s">
        <v>1092</v>
      </c>
      <c r="E116" s="294">
        <f t="shared" si="3"/>
        <v>0.35474552883509258</v>
      </c>
      <c r="F116" s="117"/>
      <c r="G116" s="218"/>
      <c r="H116" s="295" t="s">
        <v>1083</v>
      </c>
      <c r="I116" s="296">
        <f t="shared" si="4"/>
        <v>0</v>
      </c>
      <c r="J116" s="117"/>
      <c r="K116" s="160"/>
      <c r="L116" s="160"/>
      <c r="M116" s="160"/>
      <c r="N116" s="160"/>
      <c r="O116" s="160"/>
      <c r="P116" s="160"/>
      <c r="Q116" s="160"/>
      <c r="R116" s="160"/>
      <c r="S116" s="160"/>
      <c r="T116" s="160"/>
      <c r="U116" s="160"/>
      <c r="V116" s="160"/>
      <c r="W116" s="160"/>
      <c r="X116" s="160"/>
      <c r="Y116" s="160"/>
      <c r="Z116" s="160"/>
      <c r="AA116" s="243"/>
      <c r="AB116" s="236"/>
    </row>
    <row r="117" spans="1:28" ht="21" customHeight="1">
      <c r="A117" s="236"/>
      <c r="B117" s="241"/>
      <c r="C117" s="236"/>
      <c r="D117" s="295" t="s">
        <v>1093</v>
      </c>
      <c r="E117" s="294">
        <f t="shared" si="3"/>
        <v>0.35474552883509258</v>
      </c>
      <c r="F117" s="117"/>
      <c r="G117" s="218"/>
      <c r="H117" s="295" t="s">
        <v>1083</v>
      </c>
      <c r="I117" s="296">
        <f t="shared" si="4"/>
        <v>0</v>
      </c>
      <c r="J117" s="117"/>
      <c r="K117" s="160"/>
      <c r="L117" s="160"/>
      <c r="M117" s="160"/>
      <c r="N117" s="160"/>
      <c r="O117" s="160"/>
      <c r="P117" s="160"/>
      <c r="Q117" s="160"/>
      <c r="R117" s="160"/>
      <c r="S117" s="160"/>
      <c r="T117" s="160"/>
      <c r="U117" s="160"/>
      <c r="V117" s="160"/>
      <c r="W117" s="160"/>
      <c r="X117" s="160"/>
      <c r="Y117" s="160"/>
      <c r="Z117" s="160"/>
      <c r="AA117" s="243"/>
      <c r="AB117" s="236"/>
    </row>
    <row r="118" spans="1:28" ht="21" customHeight="1">
      <c r="A118" s="236"/>
      <c r="B118" s="241"/>
      <c r="C118" s="236"/>
      <c r="D118" s="295" t="s">
        <v>1094</v>
      </c>
      <c r="E118" s="294">
        <f t="shared" si="3"/>
        <v>0.35474552883509258</v>
      </c>
      <c r="F118" s="117"/>
      <c r="G118" s="218"/>
      <c r="H118" s="295" t="s">
        <v>1083</v>
      </c>
      <c r="I118" s="296">
        <f t="shared" si="4"/>
        <v>0</v>
      </c>
      <c r="J118" s="117"/>
      <c r="K118" s="160"/>
      <c r="L118" s="160"/>
      <c r="M118" s="160"/>
      <c r="N118" s="160"/>
      <c r="O118" s="160"/>
      <c r="P118" s="160"/>
      <c r="Q118" s="160"/>
      <c r="R118" s="160"/>
      <c r="S118" s="160"/>
      <c r="T118" s="160"/>
      <c r="U118" s="160"/>
      <c r="V118" s="160"/>
      <c r="W118" s="160"/>
      <c r="X118" s="160"/>
      <c r="Y118" s="160"/>
      <c r="Z118" s="160"/>
      <c r="AA118" s="243"/>
      <c r="AB118" s="236"/>
    </row>
    <row r="119" spans="1:28" ht="21" customHeight="1">
      <c r="A119" s="236"/>
      <c r="B119" s="241"/>
      <c r="C119" s="236"/>
      <c r="D119" s="295" t="s">
        <v>1095</v>
      </c>
      <c r="E119" s="294">
        <f t="shared" si="3"/>
        <v>0.35474552883509258</v>
      </c>
      <c r="F119" s="117"/>
      <c r="G119" s="218"/>
      <c r="H119" s="295" t="s">
        <v>1083</v>
      </c>
      <c r="I119" s="296">
        <f t="shared" si="4"/>
        <v>0</v>
      </c>
      <c r="J119" s="117"/>
      <c r="K119" s="160"/>
      <c r="L119" s="160"/>
      <c r="M119" s="160"/>
      <c r="N119" s="160"/>
      <c r="O119" s="160"/>
      <c r="P119" s="160"/>
      <c r="Q119" s="160"/>
      <c r="R119" s="160"/>
      <c r="S119" s="160"/>
      <c r="T119" s="160"/>
      <c r="U119" s="160"/>
      <c r="V119" s="160"/>
      <c r="W119" s="160"/>
      <c r="X119" s="160"/>
      <c r="Y119" s="160"/>
      <c r="Z119" s="160"/>
      <c r="AA119" s="243"/>
      <c r="AB119" s="236"/>
    </row>
    <row r="120" spans="1:28" ht="21" customHeight="1">
      <c r="A120" s="236"/>
      <c r="B120" s="241"/>
      <c r="C120" s="236"/>
      <c r="D120" s="295" t="s">
        <v>1096</v>
      </c>
      <c r="E120" s="294">
        <f t="shared" si="3"/>
        <v>0.35474552883509258</v>
      </c>
      <c r="F120" s="117"/>
      <c r="G120" s="218"/>
      <c r="H120" s="295" t="s">
        <v>1083</v>
      </c>
      <c r="I120" s="296">
        <f t="shared" si="4"/>
        <v>0</v>
      </c>
      <c r="J120" s="117"/>
      <c r="K120" s="160"/>
      <c r="L120" s="160"/>
      <c r="M120" s="160"/>
      <c r="N120" s="160"/>
      <c r="O120" s="160"/>
      <c r="P120" s="160"/>
      <c r="Q120" s="160"/>
      <c r="R120" s="160"/>
      <c r="S120" s="160"/>
      <c r="T120" s="160"/>
      <c r="U120" s="160"/>
      <c r="V120" s="160"/>
      <c r="W120" s="160"/>
      <c r="X120" s="160"/>
      <c r="Y120" s="160"/>
      <c r="Z120" s="160"/>
      <c r="AA120" s="243"/>
      <c r="AB120" s="236"/>
    </row>
    <row r="121" spans="1:28" ht="21" customHeight="1">
      <c r="A121" s="236"/>
      <c r="B121" s="241"/>
      <c r="C121" s="236"/>
      <c r="D121" s="295" t="s">
        <v>1097</v>
      </c>
      <c r="E121" s="294">
        <f t="shared" si="3"/>
        <v>0.35474552883509258</v>
      </c>
      <c r="F121" s="117"/>
      <c r="G121" s="218"/>
      <c r="H121" s="295" t="s">
        <v>1083</v>
      </c>
      <c r="I121" s="296">
        <f t="shared" si="4"/>
        <v>0</v>
      </c>
      <c r="J121" s="117"/>
      <c r="K121" s="160"/>
      <c r="L121" s="160"/>
      <c r="M121" s="160"/>
      <c r="N121" s="160"/>
      <c r="O121" s="160"/>
      <c r="P121" s="160"/>
      <c r="Q121" s="160"/>
      <c r="R121" s="160"/>
      <c r="S121" s="160"/>
      <c r="T121" s="160"/>
      <c r="U121" s="160"/>
      <c r="V121" s="160"/>
      <c r="W121" s="160"/>
      <c r="X121" s="160"/>
      <c r="Y121" s="160"/>
      <c r="Z121" s="160"/>
      <c r="AA121" s="243"/>
      <c r="AB121" s="236"/>
    </row>
    <row r="122" spans="1:28" ht="21" customHeight="1">
      <c r="A122" s="236"/>
      <c r="B122" s="241"/>
      <c r="C122" s="236"/>
      <c r="D122" s="295" t="s">
        <v>1098</v>
      </c>
      <c r="E122" s="294">
        <f t="shared" si="3"/>
        <v>0.35474552883509258</v>
      </c>
      <c r="F122" s="117"/>
      <c r="G122" s="218"/>
      <c r="H122" s="295" t="s">
        <v>1083</v>
      </c>
      <c r="I122" s="296">
        <f t="shared" si="4"/>
        <v>0</v>
      </c>
      <c r="J122" s="117"/>
      <c r="K122" s="160"/>
      <c r="L122" s="160"/>
      <c r="M122" s="160"/>
      <c r="N122" s="160"/>
      <c r="O122" s="160"/>
      <c r="P122" s="160"/>
      <c r="Q122" s="160"/>
      <c r="R122" s="160"/>
      <c r="S122" s="160"/>
      <c r="T122" s="160"/>
      <c r="U122" s="160"/>
      <c r="V122" s="160"/>
      <c r="W122" s="160"/>
      <c r="X122" s="160"/>
      <c r="Y122" s="160"/>
      <c r="Z122" s="160"/>
      <c r="AA122" s="243"/>
      <c r="AB122" s="236"/>
    </row>
    <row r="123" spans="1:28" ht="21" customHeight="1">
      <c r="A123" s="236"/>
      <c r="B123" s="241"/>
      <c r="C123" s="236"/>
      <c r="D123" s="295" t="s">
        <v>1099</v>
      </c>
      <c r="E123" s="294">
        <f t="shared" si="3"/>
        <v>0.35474552883509258</v>
      </c>
      <c r="F123" s="117"/>
      <c r="G123" s="218"/>
      <c r="H123" s="295" t="s">
        <v>1083</v>
      </c>
      <c r="I123" s="296">
        <f>E123*K97</f>
        <v>0</v>
      </c>
      <c r="J123" s="117"/>
      <c r="K123" s="160"/>
      <c r="L123" s="160"/>
      <c r="M123" s="160"/>
      <c r="N123" s="160"/>
      <c r="O123" s="160"/>
      <c r="P123" s="160"/>
      <c r="Q123" s="160"/>
      <c r="R123" s="160"/>
      <c r="S123" s="160"/>
      <c r="T123" s="160"/>
      <c r="U123" s="160"/>
      <c r="V123" s="160"/>
      <c r="W123" s="160"/>
      <c r="X123" s="160"/>
      <c r="Y123" s="160"/>
      <c r="Z123" s="160"/>
      <c r="AA123" s="243"/>
      <c r="AB123" s="236"/>
    </row>
    <row r="124" spans="1:28" ht="21" customHeight="1" thickBot="1">
      <c r="A124" s="236"/>
      <c r="B124" s="241"/>
      <c r="C124" s="117"/>
      <c r="D124" s="297"/>
      <c r="E124" s="214"/>
      <c r="F124" s="160"/>
      <c r="G124" s="218"/>
      <c r="H124" s="275" t="s">
        <v>124</v>
      </c>
      <c r="I124" s="255">
        <f>SUM(I107:I123)</f>
        <v>0.31662808541749565</v>
      </c>
      <c r="J124" s="117"/>
      <c r="K124" s="160"/>
      <c r="L124" s="160"/>
      <c r="M124" s="160"/>
      <c r="N124" s="160"/>
      <c r="O124" s="160"/>
      <c r="P124" s="160"/>
      <c r="Q124" s="160"/>
      <c r="R124" s="160"/>
      <c r="S124" s="160"/>
      <c r="T124" s="160"/>
      <c r="U124" s="160"/>
      <c r="V124" s="160"/>
      <c r="W124" s="160"/>
      <c r="X124" s="160"/>
      <c r="Y124" s="160"/>
      <c r="Z124" s="160"/>
      <c r="AA124" s="243"/>
      <c r="AB124" s="236"/>
    </row>
    <row r="125" spans="1:28" ht="21" customHeight="1" thickBot="1">
      <c r="A125" s="236"/>
      <c r="B125" s="241"/>
      <c r="C125" s="265" t="s">
        <v>1138</v>
      </c>
      <c r="D125" s="162"/>
      <c r="E125" s="162"/>
      <c r="F125" s="160"/>
      <c r="G125" s="160"/>
      <c r="H125" s="214"/>
      <c r="I125" s="214"/>
      <c r="J125" s="160"/>
      <c r="K125" s="160"/>
      <c r="L125" s="160"/>
      <c r="M125" s="160"/>
      <c r="N125" s="160"/>
      <c r="O125" s="160"/>
      <c r="P125" s="160"/>
      <c r="Q125" s="160"/>
      <c r="R125" s="160"/>
      <c r="S125" s="160"/>
      <c r="T125" s="160"/>
      <c r="U125" s="160"/>
      <c r="V125" s="160"/>
      <c r="W125" s="160"/>
      <c r="X125" s="160"/>
      <c r="Y125" s="160"/>
      <c r="Z125" s="160"/>
      <c r="AA125" s="243"/>
      <c r="AB125" s="236"/>
    </row>
    <row r="126" spans="1:28" ht="21" customHeight="1" thickBot="1">
      <c r="A126" s="236"/>
      <c r="B126" s="241"/>
      <c r="C126" s="236"/>
      <c r="D126" s="272" t="s">
        <v>119</v>
      </c>
      <c r="E126" s="246">
        <v>0.3</v>
      </c>
      <c r="F126" s="267" t="s">
        <v>120</v>
      </c>
      <c r="G126" s="261" t="s">
        <v>121</v>
      </c>
      <c r="H126" s="162"/>
      <c r="I126" s="162"/>
      <c r="J126" s="160"/>
      <c r="K126" s="160"/>
      <c r="L126" s="160"/>
      <c r="M126" s="160"/>
      <c r="N126" s="160"/>
      <c r="O126" s="160"/>
      <c r="P126" s="160"/>
      <c r="Q126" s="160"/>
      <c r="R126" s="160"/>
      <c r="S126" s="160"/>
      <c r="T126" s="160"/>
      <c r="U126" s="160"/>
      <c r="V126" s="160"/>
      <c r="W126" s="160"/>
      <c r="X126" s="160"/>
      <c r="Y126" s="160"/>
      <c r="Z126" s="160"/>
      <c r="AA126" s="243"/>
      <c r="AB126" s="236"/>
    </row>
    <row r="127" spans="1:28" ht="21" customHeight="1">
      <c r="A127" s="236"/>
      <c r="B127" s="241"/>
      <c r="C127" s="236"/>
      <c r="D127" s="277" t="s">
        <v>122</v>
      </c>
      <c r="E127" s="294">
        <f>E126/(8.617*0.00001)</f>
        <v>3481.490077753278</v>
      </c>
      <c r="F127" s="267"/>
      <c r="G127" s="266"/>
      <c r="H127" s="845" t="s">
        <v>123</v>
      </c>
      <c r="I127" s="846"/>
      <c r="J127" s="117"/>
      <c r="K127" s="160"/>
      <c r="L127" s="160"/>
      <c r="M127" s="160"/>
      <c r="N127" s="160"/>
      <c r="O127" s="160"/>
      <c r="P127" s="160"/>
      <c r="Q127" s="160"/>
      <c r="R127" s="160"/>
      <c r="S127" s="160"/>
      <c r="T127" s="160"/>
      <c r="U127" s="160"/>
      <c r="V127" s="160"/>
      <c r="W127" s="160"/>
      <c r="X127" s="160"/>
      <c r="Y127" s="160"/>
      <c r="Z127" s="160"/>
      <c r="AA127" s="243"/>
      <c r="AB127" s="236"/>
    </row>
    <row r="128" spans="1:28" ht="21" customHeight="1">
      <c r="A128" s="236"/>
      <c r="B128" s="241"/>
      <c r="C128" s="236"/>
      <c r="D128" s="295" t="s">
        <v>1082</v>
      </c>
      <c r="E128" s="294">
        <f>EXP($E$127*(1/328-1/(273+J81)))</f>
        <v>1.3531555377187727</v>
      </c>
      <c r="F128" s="117"/>
      <c r="G128" s="218"/>
      <c r="H128" s="295" t="s">
        <v>1083</v>
      </c>
      <c r="I128" s="296">
        <f>E128*K81</f>
        <v>2.7063110754375449E-2</v>
      </c>
      <c r="J128" s="117"/>
      <c r="K128" s="160"/>
      <c r="L128" s="160"/>
      <c r="M128" s="160"/>
      <c r="N128" s="160"/>
      <c r="O128" s="160"/>
      <c r="P128" s="160"/>
      <c r="Q128" s="160"/>
      <c r="R128" s="160"/>
      <c r="S128" s="160"/>
      <c r="T128" s="160"/>
      <c r="U128" s="160"/>
      <c r="V128" s="160"/>
      <c r="W128" s="160"/>
      <c r="X128" s="160"/>
      <c r="Y128" s="160"/>
      <c r="Z128" s="160"/>
      <c r="AA128" s="243"/>
      <c r="AB128" s="236"/>
    </row>
    <row r="129" spans="1:28" ht="21" customHeight="1">
      <c r="A129" s="236"/>
      <c r="B129" s="241"/>
      <c r="C129" s="236"/>
      <c r="D129" s="295" t="s">
        <v>1084</v>
      </c>
      <c r="E129" s="294">
        <f>EXP($E$127*(1/328-1/(273+J82)))</f>
        <v>2.9806597116431797</v>
      </c>
      <c r="F129" s="117"/>
      <c r="G129" s="218"/>
      <c r="H129" s="295" t="s">
        <v>1083</v>
      </c>
      <c r="I129" s="296">
        <f>E129*K82</f>
        <v>4.4709895674647691E-2</v>
      </c>
      <c r="J129" s="117"/>
      <c r="K129" s="160"/>
      <c r="L129" s="160"/>
      <c r="M129" s="160"/>
      <c r="N129" s="160"/>
      <c r="O129" s="160"/>
      <c r="P129" s="160"/>
      <c r="Q129" s="160"/>
      <c r="R129" s="160"/>
      <c r="S129" s="160"/>
      <c r="T129" s="160"/>
      <c r="U129" s="160"/>
      <c r="V129" s="160"/>
      <c r="W129" s="160"/>
      <c r="X129" s="160"/>
      <c r="Y129" s="160"/>
      <c r="Z129" s="160"/>
      <c r="AA129" s="243"/>
      <c r="AB129" s="236"/>
    </row>
    <row r="130" spans="1:28" ht="21" customHeight="1">
      <c r="A130" s="236"/>
      <c r="B130" s="241"/>
      <c r="C130" s="236"/>
      <c r="D130" s="295" t="s">
        <v>1085</v>
      </c>
      <c r="E130" s="294">
        <f t="shared" ref="E130:E144" si="5">EXP($E$127*(1/328-1/(273+J83)))</f>
        <v>5.482550078782058</v>
      </c>
      <c r="F130" s="117"/>
      <c r="G130" s="218"/>
      <c r="H130" s="295" t="s">
        <v>1083</v>
      </c>
      <c r="I130" s="296">
        <f t="shared" ref="I130:I144" si="6">E130*K83</f>
        <v>0.12609865181198734</v>
      </c>
      <c r="J130" s="117"/>
      <c r="K130" s="160"/>
      <c r="L130" s="160"/>
      <c r="M130" s="160"/>
      <c r="N130" s="160"/>
      <c r="O130" s="160"/>
      <c r="P130" s="160"/>
      <c r="Q130" s="160"/>
      <c r="R130" s="160"/>
      <c r="S130" s="160"/>
      <c r="T130" s="160"/>
      <c r="U130" s="160"/>
      <c r="V130" s="160"/>
      <c r="W130" s="160"/>
      <c r="X130" s="160"/>
      <c r="Y130" s="160"/>
      <c r="Z130" s="160"/>
      <c r="AA130" s="243"/>
      <c r="AB130" s="236"/>
    </row>
    <row r="131" spans="1:28" ht="21" customHeight="1">
      <c r="A131" s="236"/>
      <c r="B131" s="241"/>
      <c r="C131" s="236"/>
      <c r="D131" s="295" t="s">
        <v>1086</v>
      </c>
      <c r="E131" s="294">
        <f t="shared" si="5"/>
        <v>0.45966104259250795</v>
      </c>
      <c r="F131" s="117"/>
      <c r="G131" s="218"/>
      <c r="H131" s="295" t="s">
        <v>1083</v>
      </c>
      <c r="I131" s="296">
        <f t="shared" si="6"/>
        <v>0</v>
      </c>
      <c r="J131" s="117"/>
      <c r="K131" s="160"/>
      <c r="L131" s="160"/>
      <c r="M131" s="160"/>
      <c r="N131" s="160"/>
      <c r="O131" s="160"/>
      <c r="P131" s="160"/>
      <c r="Q131" s="160"/>
      <c r="R131" s="160"/>
      <c r="S131" s="160"/>
      <c r="T131" s="160"/>
      <c r="U131" s="160"/>
      <c r="V131" s="160"/>
      <c r="W131" s="160"/>
      <c r="X131" s="160"/>
      <c r="Y131" s="160"/>
      <c r="Z131" s="160"/>
      <c r="AA131" s="243"/>
      <c r="AB131" s="236"/>
    </row>
    <row r="132" spans="1:28" ht="21" customHeight="1">
      <c r="A132" s="236"/>
      <c r="B132" s="241"/>
      <c r="C132" s="236"/>
      <c r="D132" s="295" t="s">
        <v>1087</v>
      </c>
      <c r="E132" s="294">
        <f t="shared" si="5"/>
        <v>0.45966104259250795</v>
      </c>
      <c r="F132" s="117"/>
      <c r="G132" s="218"/>
      <c r="H132" s="295" t="s">
        <v>1083</v>
      </c>
      <c r="I132" s="296">
        <f t="shared" si="6"/>
        <v>0</v>
      </c>
      <c r="J132" s="117"/>
      <c r="K132" s="160"/>
      <c r="L132" s="160"/>
      <c r="M132" s="160"/>
      <c r="N132" s="160"/>
      <c r="O132" s="160"/>
      <c r="P132" s="160"/>
      <c r="Q132" s="160"/>
      <c r="R132" s="160"/>
      <c r="S132" s="160"/>
      <c r="T132" s="160"/>
      <c r="U132" s="160"/>
      <c r="V132" s="160"/>
      <c r="W132" s="160"/>
      <c r="X132" s="160"/>
      <c r="Y132" s="160"/>
      <c r="Z132" s="160"/>
      <c r="AA132" s="243"/>
      <c r="AB132" s="236"/>
    </row>
    <row r="133" spans="1:28" ht="21" customHeight="1">
      <c r="A133" s="236"/>
      <c r="B133" s="241"/>
      <c r="C133" s="236"/>
      <c r="D133" s="295" t="s">
        <v>1088</v>
      </c>
      <c r="E133" s="294">
        <f t="shared" si="5"/>
        <v>0.45966104259250795</v>
      </c>
      <c r="F133" s="117"/>
      <c r="G133" s="218"/>
      <c r="H133" s="295" t="s">
        <v>1083</v>
      </c>
      <c r="I133" s="296">
        <f t="shared" si="6"/>
        <v>0</v>
      </c>
      <c r="J133" s="117"/>
      <c r="K133" s="160"/>
      <c r="L133" s="160"/>
      <c r="M133" s="160"/>
      <c r="N133" s="160"/>
      <c r="O133" s="160"/>
      <c r="P133" s="160"/>
      <c r="Q133" s="160"/>
      <c r="R133" s="160"/>
      <c r="S133" s="160"/>
      <c r="T133" s="160"/>
      <c r="U133" s="160"/>
      <c r="V133" s="160"/>
      <c r="W133" s="160"/>
      <c r="X133" s="160"/>
      <c r="Y133" s="160"/>
      <c r="Z133" s="160"/>
      <c r="AA133" s="243"/>
      <c r="AB133" s="236"/>
    </row>
    <row r="134" spans="1:28" ht="21" customHeight="1">
      <c r="A134" s="236"/>
      <c r="B134" s="241"/>
      <c r="C134" s="236"/>
      <c r="D134" s="295" t="s">
        <v>1089</v>
      </c>
      <c r="E134" s="294">
        <f t="shared" si="5"/>
        <v>0.45966104259250795</v>
      </c>
      <c r="F134" s="117"/>
      <c r="G134" s="218"/>
      <c r="H134" s="295" t="s">
        <v>1083</v>
      </c>
      <c r="I134" s="296">
        <f t="shared" si="6"/>
        <v>0</v>
      </c>
      <c r="J134" s="117"/>
      <c r="K134" s="160"/>
      <c r="L134" s="160"/>
      <c r="M134" s="160"/>
      <c r="N134" s="160"/>
      <c r="O134" s="160"/>
      <c r="P134" s="160"/>
      <c r="Q134" s="160"/>
      <c r="R134" s="160"/>
      <c r="S134" s="160"/>
      <c r="T134" s="160"/>
      <c r="U134" s="160"/>
      <c r="V134" s="160"/>
      <c r="W134" s="160"/>
      <c r="X134" s="160"/>
      <c r="Y134" s="160"/>
      <c r="Z134" s="160"/>
      <c r="AA134" s="243"/>
      <c r="AB134" s="236"/>
    </row>
    <row r="135" spans="1:28" ht="21" customHeight="1">
      <c r="A135" s="236"/>
      <c r="B135" s="241"/>
      <c r="C135" s="236"/>
      <c r="D135" s="295" t="s">
        <v>1090</v>
      </c>
      <c r="E135" s="294">
        <f t="shared" si="5"/>
        <v>0.45966104259250795</v>
      </c>
      <c r="F135" s="117"/>
      <c r="G135" s="218"/>
      <c r="H135" s="295" t="s">
        <v>1083</v>
      </c>
      <c r="I135" s="296">
        <f t="shared" si="6"/>
        <v>0</v>
      </c>
      <c r="J135" s="117"/>
      <c r="K135" s="160"/>
      <c r="L135" s="160"/>
      <c r="M135" s="160"/>
      <c r="N135" s="160"/>
      <c r="O135" s="160"/>
      <c r="P135" s="160"/>
      <c r="Q135" s="160"/>
      <c r="R135" s="160"/>
      <c r="S135" s="160"/>
      <c r="T135" s="160"/>
      <c r="U135" s="160"/>
      <c r="V135" s="160"/>
      <c r="W135" s="160"/>
      <c r="X135" s="160"/>
      <c r="Y135" s="160"/>
      <c r="Z135" s="160"/>
      <c r="AA135" s="243"/>
      <c r="AB135" s="236"/>
    </row>
    <row r="136" spans="1:28" ht="21" customHeight="1">
      <c r="A136" s="236"/>
      <c r="B136" s="241"/>
      <c r="C136" s="236"/>
      <c r="D136" s="295" t="s">
        <v>1091</v>
      </c>
      <c r="E136" s="294">
        <f t="shared" si="5"/>
        <v>0.45966104259250795</v>
      </c>
      <c r="F136" s="117"/>
      <c r="G136" s="218"/>
      <c r="H136" s="295" t="s">
        <v>1083</v>
      </c>
      <c r="I136" s="296">
        <f t="shared" si="6"/>
        <v>0</v>
      </c>
      <c r="J136" s="117"/>
      <c r="K136" s="160"/>
      <c r="L136" s="160"/>
      <c r="M136" s="160"/>
      <c r="N136" s="160"/>
      <c r="O136" s="160"/>
      <c r="P136" s="160"/>
      <c r="Q136" s="160"/>
      <c r="R136" s="160"/>
      <c r="S136" s="160"/>
      <c r="T136" s="160"/>
      <c r="U136" s="160"/>
      <c r="V136" s="160"/>
      <c r="W136" s="160"/>
      <c r="X136" s="160"/>
      <c r="Y136" s="160"/>
      <c r="Z136" s="160"/>
      <c r="AA136" s="243"/>
      <c r="AB136" s="236"/>
    </row>
    <row r="137" spans="1:28" ht="21" customHeight="1">
      <c r="A137" s="236"/>
      <c r="B137" s="241"/>
      <c r="C137" s="236"/>
      <c r="D137" s="295" t="s">
        <v>1092</v>
      </c>
      <c r="E137" s="294">
        <f t="shared" si="5"/>
        <v>0.45966104259250795</v>
      </c>
      <c r="F137" s="117"/>
      <c r="G137" s="218"/>
      <c r="H137" s="295" t="s">
        <v>1083</v>
      </c>
      <c r="I137" s="296">
        <f t="shared" si="6"/>
        <v>0</v>
      </c>
      <c r="J137" s="117"/>
      <c r="K137" s="160"/>
      <c r="L137" s="160"/>
      <c r="M137" s="160"/>
      <c r="N137" s="160"/>
      <c r="O137" s="160"/>
      <c r="P137" s="160"/>
      <c r="Q137" s="160"/>
      <c r="R137" s="160"/>
      <c r="S137" s="160"/>
      <c r="T137" s="160"/>
      <c r="U137" s="160"/>
      <c r="V137" s="160"/>
      <c r="W137" s="160"/>
      <c r="X137" s="160"/>
      <c r="Y137" s="160"/>
      <c r="Z137" s="160"/>
      <c r="AA137" s="243"/>
      <c r="AB137" s="236"/>
    </row>
    <row r="138" spans="1:28" ht="21" customHeight="1">
      <c r="A138" s="236"/>
      <c r="B138" s="241"/>
      <c r="C138" s="236"/>
      <c r="D138" s="295" t="s">
        <v>1093</v>
      </c>
      <c r="E138" s="294">
        <f t="shared" si="5"/>
        <v>0.45966104259250795</v>
      </c>
      <c r="F138" s="117"/>
      <c r="G138" s="218"/>
      <c r="H138" s="295" t="s">
        <v>1083</v>
      </c>
      <c r="I138" s="296">
        <f t="shared" si="6"/>
        <v>0</v>
      </c>
      <c r="J138" s="117"/>
      <c r="K138" s="160"/>
      <c r="L138" s="160"/>
      <c r="M138" s="160"/>
      <c r="N138" s="160"/>
      <c r="O138" s="160"/>
      <c r="P138" s="160"/>
      <c r="Q138" s="160"/>
      <c r="R138" s="160"/>
      <c r="S138" s="160"/>
      <c r="T138" s="160"/>
      <c r="U138" s="160"/>
      <c r="V138" s="160"/>
      <c r="W138" s="160"/>
      <c r="X138" s="160"/>
      <c r="Y138" s="160"/>
      <c r="Z138" s="160"/>
      <c r="AA138" s="243"/>
      <c r="AB138" s="236"/>
    </row>
    <row r="139" spans="1:28" ht="21" customHeight="1">
      <c r="A139" s="236"/>
      <c r="B139" s="241"/>
      <c r="C139" s="236"/>
      <c r="D139" s="295" t="s">
        <v>1094</v>
      </c>
      <c r="E139" s="294">
        <f t="shared" si="5"/>
        <v>0.45966104259250795</v>
      </c>
      <c r="F139" s="117"/>
      <c r="G139" s="218"/>
      <c r="H139" s="295" t="s">
        <v>1083</v>
      </c>
      <c r="I139" s="296">
        <f t="shared" si="6"/>
        <v>0</v>
      </c>
      <c r="J139" s="117"/>
      <c r="K139" s="160"/>
      <c r="L139" s="160"/>
      <c r="M139" s="160"/>
      <c r="N139" s="160"/>
      <c r="O139" s="160"/>
      <c r="P139" s="160"/>
      <c r="Q139" s="160"/>
      <c r="R139" s="160"/>
      <c r="S139" s="160"/>
      <c r="T139" s="160"/>
      <c r="U139" s="160"/>
      <c r="V139" s="160"/>
      <c r="W139" s="160"/>
      <c r="X139" s="160"/>
      <c r="Y139" s="160"/>
      <c r="Z139" s="160"/>
      <c r="AA139" s="243"/>
      <c r="AB139" s="236"/>
    </row>
    <row r="140" spans="1:28" ht="21" customHeight="1">
      <c r="A140" s="236"/>
      <c r="B140" s="241"/>
      <c r="C140" s="236"/>
      <c r="D140" s="295" t="s">
        <v>1095</v>
      </c>
      <c r="E140" s="294">
        <f t="shared" si="5"/>
        <v>0.45966104259250795</v>
      </c>
      <c r="F140" s="117"/>
      <c r="G140" s="218"/>
      <c r="H140" s="295" t="s">
        <v>1083</v>
      </c>
      <c r="I140" s="296">
        <f t="shared" si="6"/>
        <v>0</v>
      </c>
      <c r="J140" s="117"/>
      <c r="K140" s="160"/>
      <c r="L140" s="160"/>
      <c r="M140" s="160"/>
      <c r="N140" s="160"/>
      <c r="O140" s="160"/>
      <c r="P140" s="160"/>
      <c r="Q140" s="160"/>
      <c r="R140" s="160"/>
      <c r="S140" s="160"/>
      <c r="T140" s="160"/>
      <c r="U140" s="160"/>
      <c r="V140" s="160"/>
      <c r="W140" s="160"/>
      <c r="X140" s="160"/>
      <c r="Y140" s="160"/>
      <c r="Z140" s="160"/>
      <c r="AA140" s="243"/>
      <c r="AB140" s="236"/>
    </row>
    <row r="141" spans="1:28" ht="21" customHeight="1">
      <c r="A141" s="236"/>
      <c r="B141" s="241"/>
      <c r="C141" s="236"/>
      <c r="D141" s="295" t="s">
        <v>1096</v>
      </c>
      <c r="E141" s="294">
        <f t="shared" si="5"/>
        <v>0.45966104259250795</v>
      </c>
      <c r="F141" s="117"/>
      <c r="G141" s="218"/>
      <c r="H141" s="295" t="s">
        <v>1083</v>
      </c>
      <c r="I141" s="296">
        <f t="shared" si="6"/>
        <v>0</v>
      </c>
      <c r="J141" s="117"/>
      <c r="K141" s="160"/>
      <c r="L141" s="160"/>
      <c r="M141" s="160"/>
      <c r="N141" s="160"/>
      <c r="O141" s="160"/>
      <c r="P141" s="160"/>
      <c r="Q141" s="160"/>
      <c r="R141" s="160"/>
      <c r="S141" s="160"/>
      <c r="T141" s="160"/>
      <c r="U141" s="160"/>
      <c r="V141" s="160"/>
      <c r="W141" s="160"/>
      <c r="X141" s="160"/>
      <c r="Y141" s="160"/>
      <c r="Z141" s="160"/>
      <c r="AA141" s="243"/>
      <c r="AB141" s="236"/>
    </row>
    <row r="142" spans="1:28" ht="21" customHeight="1">
      <c r="A142" s="236"/>
      <c r="B142" s="241"/>
      <c r="C142" s="236"/>
      <c r="D142" s="295" t="s">
        <v>1097</v>
      </c>
      <c r="E142" s="294">
        <f t="shared" si="5"/>
        <v>0.45966104259250795</v>
      </c>
      <c r="F142" s="117"/>
      <c r="G142" s="218"/>
      <c r="H142" s="295" t="s">
        <v>1083</v>
      </c>
      <c r="I142" s="296">
        <f t="shared" si="6"/>
        <v>0</v>
      </c>
      <c r="J142" s="117"/>
      <c r="K142" s="160"/>
      <c r="L142" s="160"/>
      <c r="M142" s="160"/>
      <c r="N142" s="160"/>
      <c r="O142" s="160"/>
      <c r="P142" s="160"/>
      <c r="Q142" s="160"/>
      <c r="R142" s="160"/>
      <c r="S142" s="160"/>
      <c r="T142" s="160"/>
      <c r="U142" s="160"/>
      <c r="V142" s="160"/>
      <c r="W142" s="160"/>
      <c r="X142" s="160"/>
      <c r="Y142" s="160"/>
      <c r="Z142" s="160"/>
      <c r="AA142" s="243"/>
      <c r="AB142" s="236"/>
    </row>
    <row r="143" spans="1:28" ht="21" customHeight="1">
      <c r="A143" s="236"/>
      <c r="B143" s="241"/>
      <c r="C143" s="236"/>
      <c r="D143" s="295" t="s">
        <v>1098</v>
      </c>
      <c r="E143" s="294">
        <f t="shared" si="5"/>
        <v>0.45966104259250795</v>
      </c>
      <c r="F143" s="117"/>
      <c r="G143" s="218"/>
      <c r="H143" s="295" t="s">
        <v>1083</v>
      </c>
      <c r="I143" s="296">
        <f t="shared" si="6"/>
        <v>0</v>
      </c>
      <c r="J143" s="117"/>
      <c r="K143" s="160"/>
      <c r="L143" s="160"/>
      <c r="M143" s="160"/>
      <c r="N143" s="160"/>
      <c r="O143" s="160"/>
      <c r="P143" s="160"/>
      <c r="Q143" s="160"/>
      <c r="R143" s="160"/>
      <c r="S143" s="160"/>
      <c r="T143" s="160"/>
      <c r="U143" s="160"/>
      <c r="V143" s="160"/>
      <c r="W143" s="160"/>
      <c r="X143" s="160"/>
      <c r="Y143" s="160"/>
      <c r="Z143" s="160"/>
      <c r="AA143" s="243"/>
      <c r="AB143" s="236"/>
    </row>
    <row r="144" spans="1:28" ht="21" customHeight="1" thickBot="1">
      <c r="A144" s="236"/>
      <c r="B144" s="241"/>
      <c r="C144" s="236"/>
      <c r="D144" s="298" t="s">
        <v>1099</v>
      </c>
      <c r="E144" s="294">
        <f t="shared" si="5"/>
        <v>0.45966104259250795</v>
      </c>
      <c r="F144" s="117"/>
      <c r="G144" s="218"/>
      <c r="H144" s="295" t="s">
        <v>1083</v>
      </c>
      <c r="I144" s="296">
        <f t="shared" si="6"/>
        <v>0</v>
      </c>
      <c r="J144" s="117"/>
      <c r="K144" s="160"/>
      <c r="L144" s="160"/>
      <c r="M144" s="160"/>
      <c r="N144" s="160"/>
      <c r="O144" s="160"/>
      <c r="P144" s="160"/>
      <c r="Q144" s="160"/>
      <c r="R144" s="160"/>
      <c r="S144" s="160"/>
      <c r="T144" s="160"/>
      <c r="U144" s="160"/>
      <c r="V144" s="160"/>
      <c r="W144" s="160"/>
      <c r="X144" s="160"/>
      <c r="Y144" s="160"/>
      <c r="Z144" s="160"/>
      <c r="AA144" s="243"/>
      <c r="AB144" s="236"/>
    </row>
    <row r="145" spans="1:28" ht="21" customHeight="1" thickBot="1">
      <c r="A145" s="236"/>
      <c r="B145" s="241"/>
      <c r="C145" s="117"/>
      <c r="D145" s="297"/>
      <c r="E145" s="214"/>
      <c r="F145" s="160"/>
      <c r="G145" s="218"/>
      <c r="H145" s="275" t="s">
        <v>124</v>
      </c>
      <c r="I145" s="255">
        <f>SUM(I128:I144)</f>
        <v>0.1978716582410105</v>
      </c>
      <c r="J145" s="117"/>
      <c r="K145" s="160"/>
      <c r="L145" s="160"/>
      <c r="M145" s="160"/>
      <c r="N145" s="160"/>
      <c r="O145" s="160"/>
      <c r="P145" s="160"/>
      <c r="Q145" s="160"/>
      <c r="R145" s="160"/>
      <c r="S145" s="160"/>
      <c r="T145" s="160"/>
      <c r="U145" s="160"/>
      <c r="V145" s="160"/>
      <c r="W145" s="160"/>
      <c r="X145" s="160"/>
      <c r="Y145" s="160"/>
      <c r="Z145" s="160"/>
      <c r="AA145" s="243"/>
      <c r="AB145" s="236"/>
    </row>
    <row r="146" spans="1:28" ht="21" customHeight="1" thickBot="1">
      <c r="A146" s="236"/>
      <c r="B146" s="241"/>
      <c r="C146" s="260" t="s">
        <v>125</v>
      </c>
      <c r="D146" s="299"/>
      <c r="E146" s="160"/>
      <c r="F146" s="160"/>
      <c r="G146" s="160"/>
      <c r="H146" s="215"/>
      <c r="I146" s="215"/>
      <c r="J146" s="160"/>
      <c r="K146" s="160"/>
      <c r="L146" s="160"/>
      <c r="M146" s="160"/>
      <c r="N146" s="160"/>
      <c r="O146" s="160"/>
      <c r="P146" s="160"/>
      <c r="Q146" s="160"/>
      <c r="R146" s="160"/>
      <c r="S146" s="160"/>
      <c r="T146" s="160"/>
      <c r="U146" s="160"/>
      <c r="V146" s="160"/>
      <c r="W146" s="160"/>
      <c r="X146" s="160"/>
      <c r="Y146" s="160"/>
      <c r="Z146" s="160"/>
      <c r="AA146" s="243"/>
      <c r="AB146" s="236"/>
    </row>
    <row r="147" spans="1:28" ht="25.5" customHeight="1" thickBot="1">
      <c r="A147" s="236"/>
      <c r="B147" s="241"/>
      <c r="C147" s="117"/>
      <c r="D147" s="299"/>
      <c r="E147" s="160"/>
      <c r="F147" s="160"/>
      <c r="G147" s="218"/>
      <c r="H147" s="300" t="s">
        <v>123</v>
      </c>
      <c r="I147" s="301">
        <f>I124+I145*2</f>
        <v>0.71237140189951664</v>
      </c>
      <c r="J147" s="117"/>
      <c r="K147" s="160"/>
      <c r="L147" s="160"/>
      <c r="M147" s="160"/>
      <c r="N147" s="160"/>
      <c r="O147" s="160"/>
      <c r="P147" s="160"/>
      <c r="Q147" s="160"/>
      <c r="R147" s="160"/>
      <c r="S147" s="160"/>
      <c r="T147" s="160"/>
      <c r="U147" s="160"/>
      <c r="V147" s="160"/>
      <c r="W147" s="160"/>
      <c r="X147" s="160"/>
      <c r="Y147" s="160"/>
      <c r="Z147" s="160"/>
      <c r="AA147" s="243"/>
      <c r="AB147" s="236"/>
    </row>
    <row r="148" spans="1:28" ht="21" customHeight="1">
      <c r="A148" s="236"/>
      <c r="B148" s="241"/>
      <c r="C148" s="234"/>
      <c r="D148" s="302"/>
      <c r="E148" s="162"/>
      <c r="F148" s="162"/>
      <c r="G148" s="160"/>
      <c r="H148" s="214"/>
      <c r="I148" s="214"/>
      <c r="J148" s="160"/>
      <c r="K148" s="160"/>
      <c r="L148" s="160"/>
      <c r="M148" s="160"/>
      <c r="N148" s="160"/>
      <c r="O148" s="160"/>
      <c r="P148" s="160"/>
      <c r="Q148" s="160"/>
      <c r="R148" s="160"/>
      <c r="S148" s="160"/>
      <c r="T148" s="160"/>
      <c r="U148" s="160"/>
      <c r="V148" s="160"/>
      <c r="W148" s="160"/>
      <c r="X148" s="160"/>
      <c r="Y148" s="160"/>
      <c r="Z148" s="160"/>
      <c r="AA148" s="243"/>
      <c r="AB148" s="236"/>
    </row>
    <row r="149" spans="1:28" ht="38.25" customHeight="1">
      <c r="A149" s="236"/>
      <c r="B149" s="303"/>
      <c r="C149" s="304" t="s">
        <v>529</v>
      </c>
      <c r="D149" s="305"/>
      <c r="E149" s="404">
        <f>F66*MAX(I124,I145)</f>
        <v>6.3327874313904076</v>
      </c>
      <c r="F149" s="306" t="s">
        <v>126</v>
      </c>
      <c r="G149" s="117"/>
      <c r="H149" s="160"/>
      <c r="I149" s="160"/>
      <c r="J149" s="160"/>
      <c r="K149" s="160"/>
      <c r="L149" s="160"/>
      <c r="M149" s="160"/>
      <c r="N149" s="160"/>
      <c r="O149" s="160"/>
      <c r="P149" s="160"/>
      <c r="Q149" s="160"/>
      <c r="R149" s="160"/>
      <c r="S149" s="160"/>
      <c r="T149" s="160"/>
      <c r="U149" s="160"/>
      <c r="V149" s="160"/>
      <c r="W149" s="160"/>
      <c r="X149" s="160"/>
      <c r="Y149" s="160"/>
      <c r="Z149" s="160"/>
      <c r="AA149" s="243"/>
      <c r="AB149" s="236"/>
    </row>
    <row r="150" spans="1:28" ht="21" customHeight="1">
      <c r="A150" s="236"/>
      <c r="B150" s="307"/>
      <c r="C150" s="214"/>
      <c r="D150" s="214"/>
      <c r="E150" s="214"/>
      <c r="F150" s="214"/>
      <c r="G150" s="160"/>
      <c r="H150" s="160"/>
      <c r="I150" s="160"/>
      <c r="J150" s="160"/>
      <c r="K150" s="160"/>
      <c r="L150" s="160"/>
      <c r="M150" s="160"/>
      <c r="N150" s="160"/>
      <c r="O150" s="160"/>
      <c r="P150" s="160"/>
      <c r="Q150" s="160"/>
      <c r="R150" s="160"/>
      <c r="S150" s="160"/>
      <c r="T150" s="160"/>
      <c r="U150" s="160"/>
      <c r="V150" s="160"/>
      <c r="W150" s="160"/>
      <c r="X150" s="160"/>
      <c r="Y150" s="160"/>
      <c r="Z150" s="160"/>
      <c r="AA150" s="243"/>
      <c r="AB150" s="236"/>
    </row>
    <row r="151" spans="1:28" ht="21" customHeight="1">
      <c r="A151" s="236"/>
      <c r="B151" s="308"/>
      <c r="C151" s="160"/>
      <c r="D151" s="160"/>
      <c r="E151" s="160"/>
      <c r="F151" s="160"/>
      <c r="G151" s="160"/>
      <c r="H151" s="160"/>
      <c r="I151" s="160"/>
      <c r="J151" s="160"/>
      <c r="K151" s="160"/>
      <c r="L151" s="160"/>
      <c r="M151" s="160"/>
      <c r="N151" s="160"/>
      <c r="O151" s="160"/>
      <c r="P151" s="160"/>
      <c r="Q151" s="160"/>
      <c r="R151" s="160"/>
      <c r="S151" s="160"/>
      <c r="T151" s="160"/>
      <c r="U151" s="160"/>
      <c r="V151" s="160"/>
      <c r="W151" s="160"/>
      <c r="X151" s="160"/>
      <c r="Y151" s="160"/>
      <c r="Z151" s="160"/>
      <c r="AA151" s="243"/>
      <c r="AB151" s="236"/>
    </row>
    <row r="152" spans="1:28" ht="15" customHeight="1" thickBot="1">
      <c r="A152" s="236"/>
      <c r="B152" s="309"/>
      <c r="C152" s="117"/>
      <c r="D152" s="162"/>
      <c r="E152" s="162"/>
      <c r="F152" s="160"/>
      <c r="G152" s="160"/>
      <c r="H152" s="160"/>
      <c r="I152" s="160"/>
      <c r="J152" s="160"/>
      <c r="K152" s="160"/>
      <c r="L152" s="160"/>
      <c r="M152" s="160"/>
      <c r="N152" s="160"/>
      <c r="O152" s="160"/>
      <c r="P152" s="160"/>
      <c r="Q152" s="160"/>
      <c r="R152" s="160"/>
      <c r="S152" s="160"/>
      <c r="T152" s="160"/>
      <c r="U152" s="160"/>
      <c r="V152" s="160"/>
      <c r="W152" s="160"/>
      <c r="X152" s="160"/>
      <c r="Y152" s="160"/>
      <c r="Z152" s="160"/>
      <c r="AA152" s="243"/>
      <c r="AB152" s="236"/>
    </row>
    <row r="153" spans="1:28" ht="21" customHeight="1">
      <c r="A153" s="236"/>
      <c r="B153" s="310"/>
      <c r="C153" s="236"/>
      <c r="D153" s="311" t="s">
        <v>1100</v>
      </c>
      <c r="E153" s="312">
        <v>16</v>
      </c>
      <c r="F153" s="117" t="s">
        <v>127</v>
      </c>
      <c r="G153" s="160"/>
      <c r="H153" s="160"/>
      <c r="I153" s="160"/>
      <c r="J153" s="160"/>
      <c r="K153" s="160"/>
      <c r="L153" s="160"/>
      <c r="M153" s="160"/>
      <c r="N153" s="160"/>
      <c r="O153" s="160"/>
      <c r="P153" s="160"/>
      <c r="Q153" s="160"/>
      <c r="R153" s="160"/>
      <c r="S153" s="160"/>
      <c r="T153" s="160"/>
      <c r="U153" s="160"/>
      <c r="V153" s="160"/>
      <c r="W153" s="160"/>
      <c r="X153" s="160"/>
      <c r="Y153" s="160"/>
      <c r="Z153" s="160"/>
      <c r="AA153" s="243"/>
      <c r="AB153" s="236"/>
    </row>
    <row r="154" spans="1:28" ht="21" customHeight="1">
      <c r="A154" s="236"/>
      <c r="B154" s="310"/>
      <c r="C154" s="236"/>
      <c r="D154" s="313" t="s">
        <v>1101</v>
      </c>
      <c r="E154" s="314">
        <v>21.5</v>
      </c>
      <c r="F154" s="117" t="s">
        <v>127</v>
      </c>
      <c r="G154" s="160"/>
      <c r="H154" s="160"/>
      <c r="I154" s="160"/>
      <c r="J154" s="160"/>
      <c r="K154" s="160"/>
      <c r="L154" s="160"/>
      <c r="M154" s="160"/>
      <c r="N154" s="160"/>
      <c r="O154" s="160"/>
      <c r="P154" s="160"/>
      <c r="Q154" s="160"/>
      <c r="R154" s="160"/>
      <c r="S154" s="160"/>
      <c r="T154" s="160"/>
      <c r="U154" s="160"/>
      <c r="V154" s="160"/>
      <c r="W154" s="160"/>
      <c r="X154" s="160"/>
      <c r="Y154" s="160"/>
      <c r="Z154" s="160"/>
      <c r="AA154" s="243"/>
      <c r="AB154" s="236"/>
    </row>
    <row r="155" spans="1:28" ht="24" customHeight="1">
      <c r="A155" s="236"/>
      <c r="B155" s="310"/>
      <c r="C155" s="236"/>
      <c r="D155" s="313" t="s">
        <v>1102</v>
      </c>
      <c r="E155" s="315">
        <f>0.06*(E154-E153)^1.68</f>
        <v>1.0518663664953403</v>
      </c>
      <c r="F155" s="117"/>
      <c r="G155" s="160"/>
      <c r="H155" s="160"/>
      <c r="I155" s="160"/>
      <c r="J155" s="160"/>
      <c r="K155" s="160"/>
      <c r="L155" s="160"/>
      <c r="M155" s="160"/>
      <c r="N155" s="160"/>
      <c r="O155" s="160"/>
      <c r="P155" s="160"/>
      <c r="Q155" s="160"/>
      <c r="R155" s="160"/>
      <c r="S155" s="160"/>
      <c r="T155" s="160"/>
      <c r="U155" s="160"/>
      <c r="V155" s="160"/>
      <c r="W155" s="160"/>
      <c r="X155" s="160"/>
      <c r="Y155" s="160"/>
      <c r="Z155" s="160"/>
      <c r="AA155" s="243"/>
      <c r="AB155" s="236"/>
    </row>
    <row r="156" spans="1:28" ht="25.5" customHeight="1" thickBot="1">
      <c r="A156" s="236"/>
      <c r="B156" s="310"/>
      <c r="C156" s="236"/>
      <c r="D156" s="298" t="s">
        <v>1103</v>
      </c>
      <c r="E156" s="316">
        <f>2.75*10^-3*E155</f>
        <v>2.8926325078621855E-3</v>
      </c>
      <c r="F156" s="117"/>
      <c r="G156" s="160"/>
      <c r="H156" s="160"/>
      <c r="I156" s="160"/>
      <c r="J156" s="160"/>
      <c r="K156" s="160"/>
      <c r="L156" s="160"/>
      <c r="M156" s="160"/>
      <c r="N156" s="160"/>
      <c r="O156" s="160"/>
      <c r="P156" s="160"/>
      <c r="Q156" s="160"/>
      <c r="R156" s="160"/>
      <c r="S156" s="160"/>
      <c r="T156" s="160"/>
      <c r="U156" s="160"/>
      <c r="V156" s="160"/>
      <c r="W156" s="160"/>
      <c r="X156" s="160"/>
      <c r="Y156" s="160"/>
      <c r="Z156" s="160"/>
      <c r="AA156" s="243"/>
      <c r="AB156" s="236"/>
    </row>
    <row r="157" spans="1:28" ht="15" customHeight="1">
      <c r="A157" s="236"/>
      <c r="B157" s="310"/>
      <c r="C157" s="317"/>
      <c r="D157" s="214"/>
      <c r="E157" s="214"/>
      <c r="F157" s="160"/>
      <c r="G157" s="160"/>
      <c r="H157" s="160"/>
      <c r="I157" s="160"/>
      <c r="J157" s="160"/>
      <c r="K157" s="160"/>
      <c r="L157" s="160"/>
      <c r="M157" s="160"/>
      <c r="N157" s="160"/>
      <c r="O157" s="160"/>
      <c r="P157" s="160"/>
      <c r="Q157" s="160"/>
      <c r="R157" s="160"/>
      <c r="S157" s="160"/>
      <c r="T157" s="160"/>
      <c r="U157" s="160"/>
      <c r="V157" s="160"/>
      <c r="W157" s="160"/>
      <c r="X157" s="160"/>
      <c r="Y157" s="160"/>
      <c r="Z157" s="160"/>
      <c r="AA157" s="243"/>
      <c r="AB157" s="236"/>
    </row>
    <row r="158" spans="1:28" ht="15" customHeight="1">
      <c r="A158" s="236"/>
      <c r="B158" s="310"/>
      <c r="C158" s="117"/>
      <c r="D158" s="160"/>
      <c r="E158" s="160"/>
      <c r="F158" s="160"/>
      <c r="G158" s="160"/>
      <c r="H158" s="160"/>
      <c r="I158" s="160"/>
      <c r="J158" s="160"/>
      <c r="K158" s="160"/>
      <c r="L158" s="160"/>
      <c r="M158" s="160"/>
      <c r="N158" s="160"/>
      <c r="O158" s="160"/>
      <c r="P158" s="160"/>
      <c r="Q158" s="160"/>
      <c r="R158" s="160"/>
      <c r="S158" s="160"/>
      <c r="T158" s="160"/>
      <c r="U158" s="160"/>
      <c r="V158" s="160"/>
      <c r="W158" s="160"/>
      <c r="X158" s="160"/>
      <c r="Y158" s="160"/>
      <c r="Z158" s="160"/>
      <c r="AA158" s="243"/>
      <c r="AB158" s="236"/>
    </row>
    <row r="159" spans="1:28" ht="15" customHeight="1" thickBot="1">
      <c r="A159" s="236"/>
      <c r="B159" s="310"/>
      <c r="C159" s="117"/>
      <c r="D159" s="162"/>
      <c r="E159" s="162"/>
      <c r="F159" s="160"/>
      <c r="G159" s="160"/>
      <c r="H159" s="160"/>
      <c r="I159" s="160"/>
      <c r="J159" s="160"/>
      <c r="K159" s="160"/>
      <c r="L159" s="160"/>
      <c r="M159" s="160"/>
      <c r="N159" s="160"/>
      <c r="O159" s="160"/>
      <c r="P159" s="160"/>
      <c r="Q159" s="160"/>
      <c r="R159" s="160"/>
      <c r="S159" s="160"/>
      <c r="T159" s="160"/>
      <c r="U159" s="160"/>
      <c r="V159" s="160"/>
      <c r="W159" s="160"/>
      <c r="X159" s="160"/>
      <c r="Y159" s="160"/>
      <c r="Z159" s="160"/>
      <c r="AA159" s="243"/>
      <c r="AB159" s="236"/>
    </row>
    <row r="160" spans="1:28" ht="15.75" customHeight="1" thickBot="1">
      <c r="A160" s="236"/>
      <c r="B160" s="310"/>
      <c r="C160" s="236"/>
      <c r="D160" s="318" t="s">
        <v>128</v>
      </c>
      <c r="E160" s="319">
        <f t="shared" ref="E160:E176" si="7">E81*K81</f>
        <v>0.6399999999999999</v>
      </c>
      <c r="F160" s="117" t="s">
        <v>108</v>
      </c>
      <c r="G160" s="160"/>
      <c r="H160" s="160"/>
      <c r="I160" s="160"/>
      <c r="J160" s="160"/>
      <c r="K160" s="160"/>
      <c r="L160" s="160"/>
      <c r="M160" s="160"/>
      <c r="N160" s="160"/>
      <c r="O160" s="160"/>
      <c r="P160" s="160"/>
      <c r="Q160" s="160"/>
      <c r="R160" s="160"/>
      <c r="S160" s="160"/>
      <c r="T160" s="160"/>
      <c r="U160" s="160"/>
      <c r="V160" s="160"/>
      <c r="W160" s="160"/>
      <c r="X160" s="160"/>
      <c r="Y160" s="160"/>
      <c r="Z160" s="160"/>
      <c r="AA160" s="243"/>
      <c r="AB160" s="236"/>
    </row>
    <row r="161" spans="1:28" ht="15.75" customHeight="1" thickBot="1">
      <c r="A161" s="236"/>
      <c r="B161" s="310"/>
      <c r="C161" s="236"/>
      <c r="D161" s="295" t="s">
        <v>129</v>
      </c>
      <c r="E161" s="319">
        <f t="shared" si="7"/>
        <v>0.89999999999999991</v>
      </c>
      <c r="F161" s="117"/>
      <c r="G161" s="160"/>
      <c r="H161" s="160"/>
      <c r="I161" s="160"/>
      <c r="J161" s="160"/>
      <c r="K161" s="160"/>
      <c r="L161" s="160"/>
      <c r="M161" s="160"/>
      <c r="N161" s="160"/>
      <c r="O161" s="160"/>
      <c r="P161" s="160"/>
      <c r="Q161" s="160"/>
      <c r="R161" s="160"/>
      <c r="S161" s="160"/>
      <c r="T161" s="160"/>
      <c r="U161" s="160"/>
      <c r="V161" s="160"/>
      <c r="W161" s="160"/>
      <c r="X161" s="160"/>
      <c r="Y161" s="160"/>
      <c r="Z161" s="160"/>
      <c r="AA161" s="243"/>
      <c r="AB161" s="236"/>
    </row>
    <row r="162" spans="1:28" ht="15" customHeight="1">
      <c r="A162" s="236"/>
      <c r="B162" s="310"/>
      <c r="C162" s="236"/>
      <c r="D162" s="318" t="s">
        <v>86</v>
      </c>
      <c r="E162" s="296">
        <f t="shared" si="7"/>
        <v>1.9550000000000001</v>
      </c>
      <c r="F162" s="117" t="s">
        <v>108</v>
      </c>
      <c r="G162" s="160"/>
      <c r="H162" s="160"/>
      <c r="I162" s="160"/>
      <c r="J162" s="160"/>
      <c r="K162" s="160"/>
      <c r="L162" s="160"/>
      <c r="M162" s="160"/>
      <c r="N162" s="160"/>
      <c r="O162" s="160"/>
      <c r="P162" s="160"/>
      <c r="Q162" s="160"/>
      <c r="R162" s="160"/>
      <c r="S162" s="160"/>
      <c r="T162" s="160"/>
      <c r="U162" s="160"/>
      <c r="V162" s="160"/>
      <c r="W162" s="160"/>
      <c r="X162" s="160"/>
      <c r="Y162" s="160"/>
      <c r="Z162" s="160"/>
      <c r="AA162" s="243"/>
      <c r="AB162" s="236"/>
    </row>
    <row r="163" spans="1:28" ht="15" customHeight="1" thickBot="1">
      <c r="A163" s="236"/>
      <c r="B163" s="310"/>
      <c r="C163" s="236"/>
      <c r="D163" s="295" t="s">
        <v>87</v>
      </c>
      <c r="E163" s="296">
        <f t="shared" si="7"/>
        <v>0</v>
      </c>
      <c r="F163" s="117" t="s">
        <v>108</v>
      </c>
      <c r="G163" s="160"/>
      <c r="H163" s="160"/>
      <c r="I163" s="160"/>
      <c r="J163" s="160"/>
      <c r="K163" s="160"/>
      <c r="L163" s="160"/>
      <c r="M163" s="160"/>
      <c r="N163" s="160"/>
      <c r="O163" s="160"/>
      <c r="P163" s="160"/>
      <c r="Q163" s="160"/>
      <c r="R163" s="160"/>
      <c r="S163" s="160"/>
      <c r="T163" s="160"/>
      <c r="U163" s="160"/>
      <c r="V163" s="160"/>
      <c r="W163" s="160"/>
      <c r="X163" s="160"/>
      <c r="Y163" s="160"/>
      <c r="Z163" s="160"/>
      <c r="AA163" s="243"/>
      <c r="AB163" s="236"/>
    </row>
    <row r="164" spans="1:28" ht="15" customHeight="1">
      <c r="A164" s="236"/>
      <c r="B164" s="310"/>
      <c r="C164" s="236"/>
      <c r="D164" s="318" t="s">
        <v>88</v>
      </c>
      <c r="E164" s="296">
        <f t="shared" si="7"/>
        <v>0</v>
      </c>
      <c r="F164" s="117" t="s">
        <v>108</v>
      </c>
      <c r="G164" s="160"/>
      <c r="H164" s="160"/>
      <c r="I164" s="160"/>
      <c r="J164" s="160"/>
      <c r="K164" s="160"/>
      <c r="L164" s="160"/>
      <c r="M164" s="160"/>
      <c r="N164" s="160"/>
      <c r="O164" s="160"/>
      <c r="P164" s="160"/>
      <c r="Q164" s="160"/>
      <c r="R164" s="160"/>
      <c r="S164" s="160"/>
      <c r="T164" s="160"/>
      <c r="U164" s="160"/>
      <c r="V164" s="160"/>
      <c r="W164" s="160"/>
      <c r="X164" s="160"/>
      <c r="Y164" s="160"/>
      <c r="Z164" s="160"/>
      <c r="AA164" s="243"/>
      <c r="AB164" s="236"/>
    </row>
    <row r="165" spans="1:28" ht="15" customHeight="1" thickBot="1">
      <c r="A165" s="236"/>
      <c r="B165" s="310"/>
      <c r="C165" s="236"/>
      <c r="D165" s="295" t="s">
        <v>89</v>
      </c>
      <c r="E165" s="296">
        <f t="shared" si="7"/>
        <v>0</v>
      </c>
      <c r="F165" s="117"/>
      <c r="G165" s="160"/>
      <c r="H165" s="160"/>
      <c r="I165" s="160"/>
      <c r="J165" s="160"/>
      <c r="K165" s="160"/>
      <c r="L165" s="160"/>
      <c r="M165" s="160"/>
      <c r="N165" s="160"/>
      <c r="O165" s="160"/>
      <c r="P165" s="160"/>
      <c r="Q165" s="160"/>
      <c r="R165" s="160"/>
      <c r="S165" s="160"/>
      <c r="T165" s="160"/>
      <c r="U165" s="160"/>
      <c r="V165" s="160"/>
      <c r="W165" s="160"/>
      <c r="X165" s="160"/>
      <c r="Y165" s="160"/>
      <c r="Z165" s="160"/>
      <c r="AA165" s="243"/>
      <c r="AB165" s="236"/>
    </row>
    <row r="166" spans="1:28" ht="15" customHeight="1">
      <c r="A166" s="236"/>
      <c r="B166" s="310"/>
      <c r="C166" s="236"/>
      <c r="D166" s="318" t="s">
        <v>654</v>
      </c>
      <c r="E166" s="296">
        <f t="shared" si="7"/>
        <v>0</v>
      </c>
      <c r="F166" s="117"/>
      <c r="G166" s="160"/>
      <c r="H166" s="160"/>
      <c r="I166" s="160"/>
      <c r="J166" s="160"/>
      <c r="K166" s="160"/>
      <c r="L166" s="160"/>
      <c r="M166" s="160"/>
      <c r="N166" s="160"/>
      <c r="O166" s="160"/>
      <c r="P166" s="160"/>
      <c r="Q166" s="160"/>
      <c r="R166" s="160"/>
      <c r="S166" s="160"/>
      <c r="T166" s="160"/>
      <c r="U166" s="160"/>
      <c r="V166" s="160"/>
      <c r="W166" s="160"/>
      <c r="X166" s="160"/>
      <c r="Y166" s="160"/>
      <c r="Z166" s="160"/>
      <c r="AA166" s="243"/>
      <c r="AB166" s="236"/>
    </row>
    <row r="167" spans="1:28" ht="15" customHeight="1" thickBot="1">
      <c r="A167" s="236"/>
      <c r="B167" s="310"/>
      <c r="C167" s="236"/>
      <c r="D167" s="295" t="s">
        <v>655</v>
      </c>
      <c r="E167" s="296">
        <f t="shared" si="7"/>
        <v>0</v>
      </c>
      <c r="F167" s="117" t="s">
        <v>108</v>
      </c>
      <c r="G167" s="160"/>
      <c r="H167" s="160"/>
      <c r="I167" s="160"/>
      <c r="J167" s="160"/>
      <c r="K167" s="160"/>
      <c r="L167" s="160"/>
      <c r="M167" s="160"/>
      <c r="N167" s="160"/>
      <c r="O167" s="160"/>
      <c r="P167" s="160"/>
      <c r="Q167" s="160"/>
      <c r="R167" s="160"/>
      <c r="S167" s="160"/>
      <c r="T167" s="160"/>
      <c r="U167" s="160"/>
      <c r="V167" s="160"/>
      <c r="W167" s="160"/>
      <c r="X167" s="160"/>
      <c r="Y167" s="160"/>
      <c r="Z167" s="160"/>
      <c r="AA167" s="243"/>
      <c r="AB167" s="236"/>
    </row>
    <row r="168" spans="1:28" ht="15" customHeight="1">
      <c r="A168" s="236"/>
      <c r="B168" s="310"/>
      <c r="C168" s="236"/>
      <c r="D168" s="318" t="s">
        <v>656</v>
      </c>
      <c r="E168" s="296">
        <f t="shared" si="7"/>
        <v>0</v>
      </c>
      <c r="F168" s="117"/>
      <c r="G168" s="160"/>
      <c r="H168" s="160"/>
      <c r="I168" s="160"/>
      <c r="J168" s="160"/>
      <c r="K168" s="160"/>
      <c r="L168" s="160"/>
      <c r="M168" s="160"/>
      <c r="N168" s="160"/>
      <c r="O168" s="160"/>
      <c r="P168" s="160"/>
      <c r="Q168" s="160"/>
      <c r="R168" s="160"/>
      <c r="S168" s="160"/>
      <c r="T168" s="160"/>
      <c r="U168" s="160"/>
      <c r="V168" s="160"/>
      <c r="W168" s="160"/>
      <c r="X168" s="160"/>
      <c r="Y168" s="160"/>
      <c r="Z168" s="160"/>
      <c r="AA168" s="243"/>
      <c r="AB168" s="236"/>
    </row>
    <row r="169" spans="1:28" ht="15" customHeight="1" thickBot="1">
      <c r="A169" s="236"/>
      <c r="B169" s="310"/>
      <c r="C169" s="236"/>
      <c r="D169" s="295" t="s">
        <v>657</v>
      </c>
      <c r="E169" s="296">
        <f t="shared" si="7"/>
        <v>0</v>
      </c>
      <c r="F169" s="117"/>
      <c r="G169" s="160"/>
      <c r="H169" s="160"/>
      <c r="I169" s="160"/>
      <c r="J169" s="160"/>
      <c r="K169" s="160"/>
      <c r="L169" s="160"/>
      <c r="M169" s="160"/>
      <c r="N169" s="160"/>
      <c r="O169" s="160"/>
      <c r="P169" s="160"/>
      <c r="Q169" s="160"/>
      <c r="R169" s="160"/>
      <c r="S169" s="160"/>
      <c r="T169" s="160"/>
      <c r="U169" s="160"/>
      <c r="V169" s="160"/>
      <c r="W169" s="160"/>
      <c r="X169" s="160"/>
      <c r="Y169" s="160"/>
      <c r="Z169" s="160"/>
      <c r="AA169" s="243"/>
      <c r="AB169" s="236"/>
    </row>
    <row r="170" spans="1:28" ht="15" customHeight="1">
      <c r="A170" s="236"/>
      <c r="B170" s="310"/>
      <c r="C170" s="236"/>
      <c r="D170" s="318" t="s">
        <v>658</v>
      </c>
      <c r="E170" s="296">
        <f t="shared" si="7"/>
        <v>0</v>
      </c>
      <c r="F170" s="117"/>
      <c r="G170" s="160"/>
      <c r="H170" s="160"/>
      <c r="I170" s="160"/>
      <c r="J170" s="160"/>
      <c r="K170" s="160"/>
      <c r="L170" s="160"/>
      <c r="M170" s="160"/>
      <c r="N170" s="160"/>
      <c r="O170" s="160"/>
      <c r="P170" s="160"/>
      <c r="Q170" s="160"/>
      <c r="R170" s="160"/>
      <c r="S170" s="160"/>
      <c r="T170" s="160"/>
      <c r="U170" s="160"/>
      <c r="V170" s="160"/>
      <c r="W170" s="160"/>
      <c r="X170" s="160"/>
      <c r="Y170" s="160"/>
      <c r="Z170" s="160"/>
      <c r="AA170" s="243"/>
      <c r="AB170" s="236"/>
    </row>
    <row r="171" spans="1:28" ht="15" customHeight="1" thickBot="1">
      <c r="A171" s="236"/>
      <c r="B171" s="310"/>
      <c r="C171" s="236"/>
      <c r="D171" s="295" t="s">
        <v>659</v>
      </c>
      <c r="E171" s="296">
        <f t="shared" si="7"/>
        <v>0</v>
      </c>
      <c r="F171" s="117"/>
      <c r="G171" s="160"/>
      <c r="H171" s="160"/>
      <c r="I171" s="160"/>
      <c r="J171" s="160"/>
      <c r="K171" s="160"/>
      <c r="L171" s="160"/>
      <c r="M171" s="160"/>
      <c r="N171" s="160"/>
      <c r="O171" s="160"/>
      <c r="P171" s="160"/>
      <c r="Q171" s="160"/>
      <c r="R171" s="160"/>
      <c r="S171" s="160"/>
      <c r="T171" s="160"/>
      <c r="U171" s="160"/>
      <c r="V171" s="160"/>
      <c r="W171" s="160"/>
      <c r="X171" s="160"/>
      <c r="Y171" s="160"/>
      <c r="Z171" s="160"/>
      <c r="AA171" s="243"/>
      <c r="AB171" s="236"/>
    </row>
    <row r="172" spans="1:28" ht="15" customHeight="1">
      <c r="A172" s="236"/>
      <c r="B172" s="310"/>
      <c r="C172" s="236"/>
      <c r="D172" s="318" t="s">
        <v>660</v>
      </c>
      <c r="E172" s="296">
        <f t="shared" si="7"/>
        <v>0</v>
      </c>
      <c r="F172" s="117"/>
      <c r="G172" s="160"/>
      <c r="H172" s="160"/>
      <c r="I172" s="160"/>
      <c r="J172" s="160"/>
      <c r="K172" s="160"/>
      <c r="L172" s="160"/>
      <c r="M172" s="160"/>
      <c r="N172" s="160"/>
      <c r="O172" s="160"/>
      <c r="P172" s="160"/>
      <c r="Q172" s="160"/>
      <c r="R172" s="160"/>
      <c r="S172" s="160"/>
      <c r="T172" s="160"/>
      <c r="U172" s="160"/>
      <c r="V172" s="160"/>
      <c r="W172" s="160"/>
      <c r="X172" s="160"/>
      <c r="Y172" s="160"/>
      <c r="Z172" s="160"/>
      <c r="AA172" s="243"/>
      <c r="AB172" s="236"/>
    </row>
    <row r="173" spans="1:28" ht="15" customHeight="1" thickBot="1">
      <c r="A173" s="236"/>
      <c r="B173" s="310"/>
      <c r="C173" s="236"/>
      <c r="D173" s="295" t="s">
        <v>661</v>
      </c>
      <c r="E173" s="296">
        <f t="shared" si="7"/>
        <v>0</v>
      </c>
      <c r="F173" s="117"/>
      <c r="G173" s="160"/>
      <c r="H173" s="160"/>
      <c r="I173" s="160"/>
      <c r="J173" s="160"/>
      <c r="K173" s="160"/>
      <c r="L173" s="160"/>
      <c r="M173" s="160"/>
      <c r="N173" s="160"/>
      <c r="O173" s="160"/>
      <c r="P173" s="160"/>
      <c r="Q173" s="160"/>
      <c r="R173" s="160"/>
      <c r="S173" s="160"/>
      <c r="T173" s="160"/>
      <c r="U173" s="160"/>
      <c r="V173" s="160"/>
      <c r="W173" s="160"/>
      <c r="X173" s="160"/>
      <c r="Y173" s="160"/>
      <c r="Z173" s="160"/>
      <c r="AA173" s="243"/>
      <c r="AB173" s="236"/>
    </row>
    <row r="174" spans="1:28" ht="15" customHeight="1">
      <c r="A174" s="236"/>
      <c r="B174" s="310"/>
      <c r="C174" s="236"/>
      <c r="D174" s="318" t="s">
        <v>662</v>
      </c>
      <c r="E174" s="296">
        <f t="shared" si="7"/>
        <v>0</v>
      </c>
      <c r="F174" s="117"/>
      <c r="G174" s="160"/>
      <c r="H174" s="160"/>
      <c r="I174" s="160"/>
      <c r="J174" s="160"/>
      <c r="K174" s="160"/>
      <c r="L174" s="160"/>
      <c r="M174" s="160"/>
      <c r="N174" s="160"/>
      <c r="O174" s="160"/>
      <c r="P174" s="160"/>
      <c r="Q174" s="160"/>
      <c r="R174" s="160"/>
      <c r="S174" s="160"/>
      <c r="T174" s="160"/>
      <c r="U174" s="160"/>
      <c r="V174" s="160"/>
      <c r="W174" s="160"/>
      <c r="X174" s="160"/>
      <c r="Y174" s="160"/>
      <c r="Z174" s="160"/>
      <c r="AA174" s="243"/>
      <c r="AB174" s="236"/>
    </row>
    <row r="175" spans="1:28" ht="15" customHeight="1" thickBot="1">
      <c r="A175" s="236"/>
      <c r="B175" s="310"/>
      <c r="C175" s="236"/>
      <c r="D175" s="295" t="s">
        <v>663</v>
      </c>
      <c r="E175" s="296">
        <f t="shared" si="7"/>
        <v>0</v>
      </c>
      <c r="F175" s="117"/>
      <c r="G175" s="160"/>
      <c r="H175" s="160"/>
      <c r="I175" s="160"/>
      <c r="J175" s="160"/>
      <c r="K175" s="160"/>
      <c r="L175" s="160"/>
      <c r="M175" s="160"/>
      <c r="N175" s="160"/>
      <c r="O175" s="160"/>
      <c r="P175" s="160"/>
      <c r="Q175" s="160"/>
      <c r="R175" s="160"/>
      <c r="S175" s="160"/>
      <c r="T175" s="160"/>
      <c r="U175" s="160"/>
      <c r="V175" s="160"/>
      <c r="W175" s="160"/>
      <c r="X175" s="160"/>
      <c r="Y175" s="160"/>
      <c r="Z175" s="160"/>
      <c r="AA175" s="243"/>
      <c r="AB175" s="236"/>
    </row>
    <row r="176" spans="1:28" ht="15" customHeight="1">
      <c r="A176" s="236"/>
      <c r="B176" s="310"/>
      <c r="C176" s="236"/>
      <c r="D176" s="318" t="s">
        <v>664</v>
      </c>
      <c r="E176" s="296">
        <f t="shared" si="7"/>
        <v>0</v>
      </c>
      <c r="F176" s="117" t="s">
        <v>108</v>
      </c>
      <c r="G176" s="160"/>
      <c r="H176" s="160"/>
      <c r="I176" s="160"/>
      <c r="J176" s="160"/>
      <c r="K176" s="160"/>
      <c r="L176" s="160"/>
      <c r="M176" s="160"/>
      <c r="N176" s="160"/>
      <c r="O176" s="160"/>
      <c r="P176" s="160"/>
      <c r="Q176" s="160"/>
      <c r="R176" s="160"/>
      <c r="S176" s="160"/>
      <c r="T176" s="160"/>
      <c r="U176" s="160"/>
      <c r="V176" s="160"/>
      <c r="W176" s="160"/>
      <c r="X176" s="160"/>
      <c r="Y176" s="160"/>
      <c r="Z176" s="160"/>
      <c r="AA176" s="243"/>
      <c r="AB176" s="236"/>
    </row>
    <row r="177" spans="1:28" ht="15" customHeight="1">
      <c r="A177" s="236"/>
      <c r="B177" s="310"/>
      <c r="C177" s="236"/>
      <c r="D177" s="295" t="s">
        <v>130</v>
      </c>
      <c r="E177" s="320">
        <f>SUM(E160:E176)/K98</f>
        <v>60.258620689655181</v>
      </c>
      <c r="F177" s="117" t="s">
        <v>108</v>
      </c>
      <c r="G177" s="160" t="s">
        <v>131</v>
      </c>
      <c r="H177" s="160"/>
      <c r="I177" s="160"/>
      <c r="J177" s="160"/>
      <c r="K177" s="160"/>
      <c r="L177" s="160"/>
      <c r="M177" s="160"/>
      <c r="N177" s="160"/>
      <c r="O177" s="160"/>
      <c r="P177" s="160"/>
      <c r="Q177" s="160"/>
      <c r="R177" s="160"/>
      <c r="S177" s="160"/>
      <c r="T177" s="160"/>
      <c r="U177" s="160"/>
      <c r="V177" s="160"/>
      <c r="W177" s="160"/>
      <c r="X177" s="160"/>
      <c r="Y177" s="160"/>
      <c r="Z177" s="160"/>
      <c r="AA177" s="243"/>
      <c r="AB177" s="236"/>
    </row>
    <row r="178" spans="1:28" ht="15" customHeight="1" thickBot="1">
      <c r="A178" s="236"/>
      <c r="B178" s="310"/>
      <c r="C178" s="236"/>
      <c r="D178" s="298" t="s">
        <v>107</v>
      </c>
      <c r="E178" s="255">
        <f>E78</f>
        <v>32.619999999999997</v>
      </c>
      <c r="F178" s="117" t="s">
        <v>132</v>
      </c>
      <c r="G178" s="160"/>
      <c r="H178" s="160"/>
      <c r="I178" s="160"/>
      <c r="J178" s="160"/>
      <c r="K178" s="160"/>
      <c r="L178" s="160"/>
      <c r="M178" s="160"/>
      <c r="N178" s="160"/>
      <c r="O178" s="160"/>
      <c r="P178" s="160"/>
      <c r="Q178" s="160"/>
      <c r="R178" s="160"/>
      <c r="S178" s="160"/>
      <c r="T178" s="160"/>
      <c r="U178" s="160"/>
      <c r="V178" s="160"/>
      <c r="W178" s="160"/>
      <c r="X178" s="160"/>
      <c r="Y178" s="160"/>
      <c r="Z178" s="160"/>
      <c r="AA178" s="243"/>
      <c r="AB178" s="236"/>
    </row>
    <row r="179" spans="1:28" ht="15" customHeight="1" thickBot="1">
      <c r="A179" s="236"/>
      <c r="B179" s="310"/>
      <c r="C179" s="117"/>
      <c r="D179" s="215"/>
      <c r="E179" s="215"/>
      <c r="F179" s="160"/>
      <c r="G179" s="160"/>
      <c r="H179" s="160"/>
      <c r="I179" s="160"/>
      <c r="J179" s="160"/>
      <c r="K179" s="160"/>
      <c r="L179" s="160"/>
      <c r="M179" s="160"/>
      <c r="N179" s="160"/>
      <c r="O179" s="160"/>
      <c r="P179" s="160"/>
      <c r="Q179" s="160"/>
      <c r="R179" s="160"/>
      <c r="S179" s="160"/>
      <c r="T179" s="160"/>
      <c r="U179" s="160"/>
      <c r="V179" s="160"/>
      <c r="W179" s="160"/>
      <c r="X179" s="160"/>
      <c r="Y179" s="160"/>
      <c r="Z179" s="160"/>
      <c r="AA179" s="243"/>
      <c r="AB179" s="236"/>
    </row>
    <row r="180" spans="1:28" ht="15" customHeight="1">
      <c r="A180" s="236"/>
      <c r="B180" s="310"/>
      <c r="C180" s="236"/>
      <c r="D180" s="251" t="s">
        <v>90</v>
      </c>
      <c r="E180" s="246">
        <v>5</v>
      </c>
      <c r="F180" s="117" t="s">
        <v>91</v>
      </c>
      <c r="G180" s="160"/>
      <c r="H180" s="160"/>
      <c r="I180" s="160"/>
      <c r="J180" s="160"/>
      <c r="K180" s="160"/>
      <c r="L180" s="160"/>
      <c r="M180" s="160"/>
      <c r="N180" s="160"/>
      <c r="O180" s="160"/>
      <c r="P180" s="160"/>
      <c r="Q180" s="160"/>
      <c r="R180" s="160"/>
      <c r="S180" s="160"/>
      <c r="T180" s="160"/>
      <c r="U180" s="160"/>
      <c r="V180" s="160"/>
      <c r="W180" s="160"/>
      <c r="X180" s="160"/>
      <c r="Y180" s="160"/>
      <c r="Z180" s="160"/>
      <c r="AA180" s="243"/>
      <c r="AB180" s="236"/>
    </row>
    <row r="181" spans="1:28" ht="15" customHeight="1">
      <c r="A181" s="236"/>
      <c r="B181" s="310"/>
      <c r="C181" s="236"/>
      <c r="D181" s="252" t="s">
        <v>92</v>
      </c>
      <c r="E181" s="253">
        <v>15</v>
      </c>
      <c r="F181" s="117" t="s">
        <v>91</v>
      </c>
      <c r="G181" s="160"/>
      <c r="H181" s="160"/>
      <c r="I181" s="160"/>
      <c r="J181" s="160"/>
      <c r="K181" s="160"/>
      <c r="L181" s="160"/>
      <c r="M181" s="160"/>
      <c r="N181" s="160"/>
      <c r="O181" s="160"/>
      <c r="P181" s="160"/>
      <c r="Q181" s="160"/>
      <c r="R181" s="160"/>
      <c r="S181" s="160"/>
      <c r="T181" s="160"/>
      <c r="U181" s="160"/>
      <c r="V181" s="160"/>
      <c r="W181" s="160"/>
      <c r="X181" s="160"/>
      <c r="Y181" s="160"/>
      <c r="Z181" s="160"/>
      <c r="AA181" s="243"/>
      <c r="AB181" s="236"/>
    </row>
    <row r="182" spans="1:28" ht="15" customHeight="1">
      <c r="A182" s="236"/>
      <c r="B182" s="310"/>
      <c r="C182" s="236"/>
      <c r="D182" s="321" t="s">
        <v>1104</v>
      </c>
      <c r="E182" s="322">
        <f>$E$178/3+$E$177-E180</f>
        <v>66.131954022988509</v>
      </c>
      <c r="F182" s="117" t="s">
        <v>91</v>
      </c>
      <c r="G182" s="160"/>
      <c r="H182" s="160"/>
      <c r="I182" s="160"/>
      <c r="J182" s="160"/>
      <c r="K182" s="160"/>
      <c r="L182" s="160"/>
      <c r="M182" s="160"/>
      <c r="N182" s="160"/>
      <c r="O182" s="160"/>
      <c r="P182" s="160"/>
      <c r="Q182" s="160"/>
      <c r="R182" s="160"/>
      <c r="S182" s="160"/>
      <c r="T182" s="160"/>
      <c r="U182" s="160"/>
      <c r="V182" s="160"/>
      <c r="W182" s="160"/>
      <c r="X182" s="160"/>
      <c r="Y182" s="160"/>
      <c r="Z182" s="160"/>
      <c r="AA182" s="243"/>
      <c r="AB182" s="236"/>
    </row>
    <row r="183" spans="1:28" ht="15" customHeight="1">
      <c r="A183" s="236"/>
      <c r="B183" s="310"/>
      <c r="C183" s="236"/>
      <c r="D183" s="321" t="s">
        <v>1105</v>
      </c>
      <c r="E183" s="322">
        <f>$E$178/3+$E$177-E181</f>
        <v>56.131954022988509</v>
      </c>
      <c r="F183" s="117" t="s">
        <v>91</v>
      </c>
      <c r="G183" s="160"/>
      <c r="H183" s="160"/>
      <c r="I183" s="160"/>
      <c r="J183" s="160"/>
      <c r="K183" s="160"/>
      <c r="L183" s="160"/>
      <c r="M183" s="160"/>
      <c r="N183" s="160"/>
      <c r="O183" s="160"/>
      <c r="P183" s="160"/>
      <c r="Q183" s="160"/>
      <c r="R183" s="160"/>
      <c r="S183" s="160"/>
      <c r="T183" s="160"/>
      <c r="U183" s="160"/>
      <c r="V183" s="160"/>
      <c r="W183" s="160"/>
      <c r="X183" s="160"/>
      <c r="Y183" s="160"/>
      <c r="Z183" s="160"/>
      <c r="AA183" s="243"/>
      <c r="AB183" s="236"/>
    </row>
    <row r="184" spans="1:28" ht="15" customHeight="1">
      <c r="A184" s="236"/>
      <c r="B184" s="310"/>
      <c r="C184" s="236"/>
      <c r="D184" s="321" t="s">
        <v>1106</v>
      </c>
      <c r="E184" s="253">
        <v>10</v>
      </c>
      <c r="F184" s="117" t="s">
        <v>91</v>
      </c>
      <c r="G184" s="160"/>
      <c r="H184" s="160"/>
      <c r="I184" s="160"/>
      <c r="J184" s="160"/>
      <c r="K184" s="160"/>
      <c r="L184" s="160"/>
      <c r="M184" s="160"/>
      <c r="N184" s="160"/>
      <c r="O184" s="160"/>
      <c r="P184" s="160"/>
      <c r="Q184" s="160"/>
      <c r="R184" s="160"/>
      <c r="S184" s="160"/>
      <c r="T184" s="160"/>
      <c r="U184" s="160"/>
      <c r="V184" s="160"/>
      <c r="W184" s="160"/>
      <c r="X184" s="160"/>
      <c r="Y184" s="160"/>
      <c r="Z184" s="160"/>
      <c r="AA184" s="243"/>
      <c r="AB184" s="236"/>
    </row>
    <row r="185" spans="1:28" ht="15" customHeight="1">
      <c r="A185" s="236"/>
      <c r="B185" s="310"/>
      <c r="C185" s="236"/>
      <c r="D185" s="252" t="s">
        <v>1107</v>
      </c>
      <c r="E185" s="253">
        <v>670</v>
      </c>
      <c r="F185" s="117" t="s">
        <v>133</v>
      </c>
      <c r="G185" s="160"/>
      <c r="H185" s="160"/>
      <c r="I185" s="160"/>
      <c r="J185" s="160"/>
      <c r="K185" s="160"/>
      <c r="L185" s="160"/>
      <c r="M185" s="160"/>
      <c r="N185" s="160"/>
      <c r="O185" s="160"/>
      <c r="P185" s="160"/>
      <c r="Q185" s="160"/>
      <c r="R185" s="160"/>
      <c r="S185" s="160"/>
      <c r="T185" s="160"/>
      <c r="U185" s="160"/>
      <c r="V185" s="160"/>
      <c r="W185" s="160"/>
      <c r="X185" s="160"/>
      <c r="Y185" s="160"/>
      <c r="Z185" s="160"/>
      <c r="AA185" s="243"/>
      <c r="AB185" s="236"/>
    </row>
    <row r="186" spans="1:28" ht="15" customHeight="1">
      <c r="A186" s="236"/>
      <c r="B186" s="310"/>
      <c r="C186" s="236"/>
      <c r="D186" s="252" t="s">
        <v>1108</v>
      </c>
      <c r="E186" s="253">
        <v>1340</v>
      </c>
      <c r="F186" s="117" t="s">
        <v>133</v>
      </c>
      <c r="G186" s="160"/>
      <c r="H186" s="160"/>
      <c r="I186" s="160"/>
      <c r="J186" s="160"/>
      <c r="K186" s="160"/>
      <c r="L186" s="160"/>
      <c r="M186" s="160"/>
      <c r="N186" s="160"/>
      <c r="O186" s="160"/>
      <c r="P186" s="160"/>
      <c r="Q186" s="160"/>
      <c r="R186" s="160"/>
      <c r="S186" s="160"/>
      <c r="T186" s="160"/>
      <c r="U186" s="160"/>
      <c r="V186" s="160"/>
      <c r="W186" s="160"/>
      <c r="X186" s="160"/>
      <c r="Y186" s="160"/>
      <c r="Z186" s="160"/>
      <c r="AA186" s="243"/>
      <c r="AB186" s="236"/>
    </row>
    <row r="187" spans="1:28" ht="15" customHeight="1">
      <c r="A187" s="236"/>
      <c r="B187" s="310"/>
      <c r="C187" s="236"/>
      <c r="D187" s="252" t="s">
        <v>1109</v>
      </c>
      <c r="E187" s="253">
        <v>30</v>
      </c>
      <c r="F187" s="117" t="s">
        <v>133</v>
      </c>
      <c r="G187" s="160"/>
      <c r="H187" s="160"/>
      <c r="I187" s="160"/>
      <c r="J187" s="160"/>
      <c r="K187" s="160"/>
      <c r="L187" s="160"/>
      <c r="M187" s="160"/>
      <c r="N187" s="160"/>
      <c r="O187" s="160"/>
      <c r="P187" s="160"/>
      <c r="Q187" s="160"/>
      <c r="R187" s="160"/>
      <c r="S187" s="160"/>
      <c r="T187" s="160"/>
      <c r="U187" s="160"/>
      <c r="V187" s="160"/>
      <c r="W187" s="160"/>
      <c r="X187" s="160"/>
      <c r="Y187" s="160"/>
      <c r="Z187" s="160"/>
      <c r="AA187" s="243"/>
      <c r="AB187" s="236"/>
    </row>
    <row r="188" spans="1:28" ht="15" customHeight="1">
      <c r="A188" s="236"/>
      <c r="B188" s="310"/>
      <c r="C188" s="236"/>
      <c r="D188" s="252" t="s">
        <v>1110</v>
      </c>
      <c r="E188" s="320">
        <f>IF(E185&lt;=8760,E185^0.76,1.7*E185^0.6)</f>
        <v>140.54546931166848</v>
      </c>
      <c r="F188" s="117"/>
      <c r="G188" s="160"/>
      <c r="H188" s="160"/>
      <c r="I188" s="160"/>
      <c r="J188" s="160"/>
      <c r="K188" s="160"/>
      <c r="L188" s="160"/>
      <c r="M188" s="160"/>
      <c r="N188" s="160"/>
      <c r="O188" s="160"/>
      <c r="P188" s="160"/>
      <c r="Q188" s="160"/>
      <c r="R188" s="160"/>
      <c r="S188" s="160"/>
      <c r="T188" s="160"/>
      <c r="U188" s="160"/>
      <c r="V188" s="160"/>
      <c r="W188" s="160"/>
      <c r="X188" s="160"/>
      <c r="Y188" s="160"/>
      <c r="Z188" s="160"/>
      <c r="AA188" s="243"/>
      <c r="AB188" s="236"/>
    </row>
    <row r="189" spans="1:28" ht="15" customHeight="1">
      <c r="A189" s="236"/>
      <c r="B189" s="310"/>
      <c r="C189" s="236"/>
      <c r="D189" s="252" t="s">
        <v>1111</v>
      </c>
      <c r="E189" s="320">
        <f>IF(E186&lt;=8760,E186^0.76,1.7*E186^0.6)</f>
        <v>238.01243462689337</v>
      </c>
      <c r="F189" s="117"/>
      <c r="G189" s="160"/>
      <c r="H189" s="160"/>
      <c r="I189" s="160"/>
      <c r="J189" s="160"/>
      <c r="K189" s="160"/>
      <c r="L189" s="160"/>
      <c r="M189" s="160"/>
      <c r="N189" s="160"/>
      <c r="O189" s="160"/>
      <c r="P189" s="160"/>
      <c r="Q189" s="160"/>
      <c r="R189" s="160"/>
      <c r="S189" s="160"/>
      <c r="T189" s="160"/>
      <c r="U189" s="160"/>
      <c r="V189" s="160"/>
      <c r="W189" s="160"/>
      <c r="X189" s="160"/>
      <c r="Y189" s="160"/>
      <c r="Z189" s="160"/>
      <c r="AA189" s="243"/>
      <c r="AB189" s="236"/>
    </row>
    <row r="190" spans="1:28" ht="15" customHeight="1" thickBot="1">
      <c r="A190" s="236"/>
      <c r="B190" s="310"/>
      <c r="C190" s="236"/>
      <c r="D190" s="252" t="s">
        <v>1112</v>
      </c>
      <c r="E190" s="323">
        <f>IF(E187&lt;=8760,E187^0.76,1.7*E187^0.6)</f>
        <v>13.26209558112428</v>
      </c>
      <c r="F190" s="117"/>
      <c r="G190" s="160"/>
      <c r="H190" s="160"/>
      <c r="I190" s="160"/>
      <c r="J190" s="160"/>
      <c r="K190" s="160"/>
      <c r="L190" s="160"/>
      <c r="M190" s="160"/>
      <c r="N190" s="160"/>
      <c r="O190" s="160"/>
      <c r="P190" s="160"/>
      <c r="Q190" s="160"/>
      <c r="R190" s="160"/>
      <c r="S190" s="160"/>
      <c r="T190" s="160"/>
      <c r="U190" s="160"/>
      <c r="V190" s="160"/>
      <c r="W190" s="160"/>
      <c r="X190" s="160"/>
      <c r="Y190" s="160"/>
      <c r="Z190" s="160"/>
      <c r="AA190" s="243"/>
      <c r="AB190" s="236"/>
    </row>
    <row r="191" spans="1:28" ht="15" customHeight="1" thickBot="1">
      <c r="A191" s="236"/>
      <c r="B191" s="310"/>
      <c r="C191" s="117"/>
      <c r="D191" s="215"/>
      <c r="E191" s="215"/>
      <c r="F191" s="160"/>
      <c r="G191" s="160"/>
      <c r="H191" s="160"/>
      <c r="I191" s="160"/>
      <c r="J191" s="160"/>
      <c r="K191" s="160"/>
      <c r="L191" s="160"/>
      <c r="M191" s="160"/>
      <c r="N191" s="160"/>
      <c r="O191" s="160"/>
      <c r="P191" s="160"/>
      <c r="Q191" s="160"/>
      <c r="R191" s="160"/>
      <c r="S191" s="160"/>
      <c r="T191" s="160"/>
      <c r="U191" s="160"/>
      <c r="V191" s="160"/>
      <c r="W191" s="160"/>
      <c r="X191" s="160"/>
      <c r="Y191" s="160"/>
      <c r="Z191" s="160"/>
      <c r="AA191" s="243"/>
      <c r="AB191" s="236"/>
    </row>
    <row r="192" spans="1:28" ht="15" customHeight="1">
      <c r="A192" s="236"/>
      <c r="B192" s="310"/>
      <c r="C192" s="236"/>
      <c r="D192" s="251" t="s">
        <v>1113</v>
      </c>
      <c r="E192" s="324">
        <f>E188*E182^0.68</f>
        <v>2430.5052949921851</v>
      </c>
      <c r="F192" s="117"/>
      <c r="G192" s="160"/>
      <c r="H192" s="160"/>
      <c r="I192" s="160"/>
      <c r="J192" s="160"/>
      <c r="K192" s="160"/>
      <c r="L192" s="160"/>
      <c r="M192" s="160"/>
      <c r="N192" s="160"/>
      <c r="O192" s="160"/>
      <c r="P192" s="160"/>
      <c r="Q192" s="160"/>
      <c r="R192" s="160"/>
      <c r="S192" s="160"/>
      <c r="T192" s="160"/>
      <c r="U192" s="160"/>
      <c r="V192" s="160"/>
      <c r="W192" s="160"/>
      <c r="X192" s="160"/>
      <c r="Y192" s="160"/>
      <c r="Z192" s="160"/>
      <c r="AA192" s="243"/>
      <c r="AB192" s="236"/>
    </row>
    <row r="193" spans="1:28" ht="15" customHeight="1">
      <c r="A193" s="236"/>
      <c r="B193" s="310"/>
      <c r="C193" s="236"/>
      <c r="D193" s="252" t="s">
        <v>1113</v>
      </c>
      <c r="E193" s="320">
        <f t="shared" ref="E193:E194" si="8">E189*E183^0.68</f>
        <v>3681.820030410669</v>
      </c>
      <c r="F193" s="117"/>
      <c r="G193" s="160"/>
      <c r="H193" s="160"/>
      <c r="I193" s="160"/>
      <c r="J193" s="160"/>
      <c r="K193" s="160"/>
      <c r="L193" s="160"/>
      <c r="M193" s="160"/>
      <c r="N193" s="160"/>
      <c r="O193" s="160"/>
      <c r="P193" s="160"/>
      <c r="Q193" s="160"/>
      <c r="R193" s="160"/>
      <c r="S193" s="160"/>
      <c r="T193" s="160"/>
      <c r="U193" s="160"/>
      <c r="V193" s="160"/>
      <c r="W193" s="160"/>
      <c r="X193" s="160"/>
      <c r="Y193" s="160"/>
      <c r="Z193" s="160"/>
      <c r="AA193" s="243"/>
      <c r="AB193" s="236"/>
    </row>
    <row r="194" spans="1:28" ht="15" customHeight="1">
      <c r="A194" s="236"/>
      <c r="B194" s="310"/>
      <c r="C194" s="236"/>
      <c r="D194" s="252" t="s">
        <v>1113</v>
      </c>
      <c r="E194" s="320">
        <f t="shared" si="8"/>
        <v>63.476380323851686</v>
      </c>
      <c r="F194" s="117"/>
      <c r="G194" s="160"/>
      <c r="H194" s="160"/>
      <c r="I194" s="160"/>
      <c r="J194" s="160"/>
      <c r="K194" s="160"/>
      <c r="L194" s="160"/>
      <c r="M194" s="160"/>
      <c r="N194" s="160"/>
      <c r="O194" s="160"/>
      <c r="P194" s="160"/>
      <c r="Q194" s="160"/>
      <c r="R194" s="160"/>
      <c r="S194" s="160"/>
      <c r="T194" s="160"/>
      <c r="U194" s="160"/>
      <c r="V194" s="160"/>
      <c r="W194" s="160"/>
      <c r="X194" s="160"/>
      <c r="Y194" s="160"/>
      <c r="Z194" s="160"/>
      <c r="AA194" s="243"/>
      <c r="AB194" s="236"/>
    </row>
    <row r="195" spans="1:28" ht="21" customHeight="1" thickBot="1">
      <c r="A195" s="236"/>
      <c r="B195" s="310"/>
      <c r="C195" s="236"/>
      <c r="D195" s="325" t="s">
        <v>1114</v>
      </c>
      <c r="E195" s="326">
        <f>SUM(E192:E194)</f>
        <v>6175.8017057267061</v>
      </c>
      <c r="F195" s="117"/>
      <c r="G195" s="160"/>
      <c r="H195" s="160"/>
      <c r="I195" s="160"/>
      <c r="J195" s="160"/>
      <c r="K195" s="160"/>
      <c r="L195" s="160"/>
      <c r="M195" s="160"/>
      <c r="N195" s="160"/>
      <c r="O195" s="160"/>
      <c r="P195" s="160"/>
      <c r="Q195" s="160"/>
      <c r="R195" s="160"/>
      <c r="S195" s="160"/>
      <c r="T195" s="160"/>
      <c r="U195" s="160"/>
      <c r="V195" s="160"/>
      <c r="W195" s="160"/>
      <c r="X195" s="160"/>
      <c r="Y195" s="160"/>
      <c r="Z195" s="160"/>
      <c r="AA195" s="243"/>
      <c r="AB195" s="236"/>
    </row>
    <row r="196" spans="1:28" ht="15" customHeight="1" thickBot="1">
      <c r="A196" s="236"/>
      <c r="B196" s="310"/>
      <c r="C196" s="117"/>
      <c r="D196" s="215"/>
      <c r="E196" s="215"/>
      <c r="F196" s="160"/>
      <c r="G196" s="160"/>
      <c r="H196" s="160"/>
      <c r="I196" s="160"/>
      <c r="J196" s="160"/>
      <c r="K196" s="160"/>
      <c r="L196" s="160"/>
      <c r="M196" s="160"/>
      <c r="N196" s="160"/>
      <c r="O196" s="160"/>
      <c r="P196" s="160"/>
      <c r="Q196" s="160"/>
      <c r="R196" s="160"/>
      <c r="S196" s="160"/>
      <c r="T196" s="160"/>
      <c r="U196" s="160"/>
      <c r="V196" s="160"/>
      <c r="W196" s="160"/>
      <c r="X196" s="160"/>
      <c r="Y196" s="160"/>
      <c r="Z196" s="160"/>
      <c r="AA196" s="243"/>
      <c r="AB196" s="236"/>
    </row>
    <row r="197" spans="1:28" ht="15" customHeight="1" thickBot="1">
      <c r="A197" s="236"/>
      <c r="B197" s="310"/>
      <c r="C197" s="236"/>
      <c r="D197" s="327" t="s">
        <v>134</v>
      </c>
      <c r="E197" s="328">
        <v>4.0999999999999996</v>
      </c>
      <c r="F197" s="117" t="s">
        <v>135</v>
      </c>
      <c r="G197" s="160"/>
      <c r="H197" s="160"/>
      <c r="I197" s="160"/>
      <c r="J197" s="160"/>
      <c r="K197" s="160"/>
      <c r="L197" s="160"/>
      <c r="M197" s="160"/>
      <c r="N197" s="160"/>
      <c r="O197" s="160"/>
      <c r="P197" s="160"/>
      <c r="Q197" s="160"/>
      <c r="R197" s="160"/>
      <c r="S197" s="160"/>
      <c r="T197" s="160"/>
      <c r="U197" s="160"/>
      <c r="V197" s="160"/>
      <c r="W197" s="160"/>
      <c r="X197" s="160"/>
      <c r="Y197" s="160"/>
      <c r="Z197" s="160"/>
      <c r="AA197" s="243"/>
      <c r="AB197" s="236"/>
    </row>
    <row r="198" spans="1:28" ht="15" customHeight="1">
      <c r="A198" s="236"/>
      <c r="B198" s="310"/>
      <c r="C198" s="117"/>
      <c r="D198" s="214"/>
      <c r="E198" s="214"/>
      <c r="F198" s="160"/>
      <c r="G198" s="160"/>
      <c r="H198" s="160"/>
      <c r="I198" s="160"/>
      <c r="J198" s="160"/>
      <c r="K198" s="160"/>
      <c r="L198" s="160"/>
      <c r="M198" s="160"/>
      <c r="N198" s="160"/>
      <c r="O198" s="160"/>
      <c r="P198" s="160"/>
      <c r="Q198" s="160"/>
      <c r="R198" s="160"/>
      <c r="S198" s="160"/>
      <c r="T198" s="160"/>
      <c r="U198" s="160"/>
      <c r="V198" s="160"/>
      <c r="W198" s="160"/>
      <c r="X198" s="160"/>
      <c r="Y198" s="160"/>
      <c r="Z198" s="160"/>
      <c r="AA198" s="243"/>
      <c r="AB198" s="236"/>
    </row>
    <row r="199" spans="1:28" ht="15" customHeight="1">
      <c r="A199" s="236"/>
      <c r="B199" s="310"/>
      <c r="C199" s="234"/>
      <c r="D199" s="160"/>
      <c r="E199" s="160" t="s">
        <v>1159</v>
      </c>
      <c r="G199" s="160"/>
      <c r="H199" s="160"/>
      <c r="I199" s="160"/>
      <c r="J199" s="160"/>
      <c r="K199" s="160"/>
      <c r="L199" s="160"/>
      <c r="M199" s="160"/>
      <c r="N199" s="160"/>
      <c r="O199" s="160"/>
      <c r="P199" s="160"/>
      <c r="Q199" s="160"/>
      <c r="R199" s="160"/>
      <c r="S199" s="160"/>
      <c r="T199" s="160"/>
      <c r="U199" s="160"/>
      <c r="V199" s="160"/>
      <c r="W199" s="160"/>
      <c r="X199" s="160"/>
      <c r="Y199" s="160"/>
      <c r="Z199" s="160"/>
      <c r="AA199" s="243"/>
      <c r="AB199" s="236"/>
    </row>
    <row r="200" spans="1:28" ht="34.5" customHeight="1">
      <c r="A200" s="236"/>
      <c r="B200" s="329"/>
      <c r="C200" s="330" t="s">
        <v>530</v>
      </c>
      <c r="D200" s="331"/>
      <c r="E200" s="332">
        <f>E156*E195*E197</f>
        <v>73.243731581992805</v>
      </c>
      <c r="F200" s="333" t="s">
        <v>136</v>
      </c>
      <c r="G200" s="117"/>
      <c r="H200" s="160"/>
      <c r="I200" s="160" t="s">
        <v>573</v>
      </c>
      <c r="J200" s="160"/>
      <c r="K200" s="160"/>
      <c r="L200" s="160"/>
      <c r="M200" s="160"/>
      <c r="N200" s="160"/>
      <c r="O200" s="160"/>
      <c r="P200" s="160"/>
      <c r="Q200" s="160"/>
      <c r="R200" s="160"/>
      <c r="S200" s="160"/>
      <c r="T200" s="160"/>
      <c r="U200" s="160"/>
      <c r="V200" s="160"/>
      <c r="W200" s="160"/>
      <c r="X200" s="160"/>
      <c r="Y200" s="160"/>
      <c r="Z200" s="160"/>
      <c r="AA200" s="243"/>
      <c r="AB200" s="236"/>
    </row>
    <row r="201" spans="1:28" ht="20.25" customHeight="1">
      <c r="A201" s="236"/>
      <c r="B201" s="308"/>
      <c r="C201" s="160"/>
      <c r="D201" s="160"/>
      <c r="E201" s="160"/>
      <c r="F201" s="160"/>
      <c r="G201" s="160"/>
      <c r="H201" s="160"/>
      <c r="I201" s="160"/>
      <c r="J201" s="160"/>
      <c r="K201" s="160"/>
      <c r="L201" s="160"/>
      <c r="M201" s="160"/>
      <c r="N201" s="160"/>
      <c r="O201" s="160"/>
      <c r="P201" s="160"/>
      <c r="Q201" s="160"/>
      <c r="R201" s="160"/>
      <c r="S201" s="160"/>
      <c r="T201" s="160"/>
      <c r="U201" s="160"/>
      <c r="V201" s="160"/>
      <c r="W201" s="160"/>
      <c r="X201" s="160"/>
      <c r="Y201" s="160"/>
      <c r="Z201" s="160"/>
      <c r="AA201" s="243"/>
      <c r="AB201" s="236"/>
    </row>
    <row r="202" spans="1:28" ht="44.25" customHeight="1">
      <c r="A202" s="334"/>
      <c r="B202" s="335" t="s">
        <v>531</v>
      </c>
      <c r="C202" s="336"/>
      <c r="D202" s="336"/>
      <c r="E202" s="337">
        <f>E149+E200</f>
        <v>79.576519013383205</v>
      </c>
      <c r="F202" s="338" t="s">
        <v>136</v>
      </c>
      <c r="G202" s="339"/>
      <c r="H202" s="339"/>
      <c r="I202" s="339"/>
      <c r="J202" s="339"/>
      <c r="K202" s="339"/>
      <c r="L202" s="339"/>
      <c r="M202" s="339"/>
      <c r="N202" s="339"/>
      <c r="O202" s="339"/>
      <c r="P202" s="339"/>
      <c r="Q202" s="339"/>
      <c r="R202" s="339"/>
      <c r="S202" s="339"/>
      <c r="T202" s="339"/>
      <c r="U202" s="339"/>
      <c r="V202" s="339"/>
      <c r="W202" s="339"/>
      <c r="X202" s="339"/>
      <c r="Y202" s="339"/>
      <c r="Z202" s="339"/>
      <c r="AA202" s="340"/>
      <c r="AB202" s="334"/>
    </row>
    <row r="203" spans="1:28" ht="20.25" customHeight="1">
      <c r="A203" s="117"/>
      <c r="B203" s="214"/>
      <c r="C203" s="214"/>
      <c r="D203" s="214"/>
      <c r="E203" s="214"/>
      <c r="F203" s="214"/>
      <c r="G203" s="214"/>
      <c r="H203" s="214"/>
      <c r="I203" s="214"/>
      <c r="J203" s="214"/>
      <c r="K203" s="214"/>
      <c r="L203" s="214"/>
      <c r="M203" s="214"/>
      <c r="N203" s="214"/>
      <c r="O203" s="214"/>
      <c r="P203" s="214"/>
      <c r="Q203" s="214"/>
      <c r="R203" s="214"/>
      <c r="S203" s="214"/>
      <c r="T203" s="214"/>
      <c r="U203" s="214"/>
      <c r="V203" s="214"/>
      <c r="W203" s="214"/>
      <c r="X203" s="214"/>
      <c r="Y203" s="214"/>
      <c r="Z203" s="214"/>
      <c r="AA203" s="214"/>
      <c r="AB203" s="218"/>
    </row>
  </sheetData>
  <mergeCells count="18">
    <mergeCell ref="A31:AB31"/>
    <mergeCell ref="A10:AB10"/>
    <mergeCell ref="A8:AB8"/>
    <mergeCell ref="Z2:AA2"/>
    <mergeCell ref="Z4:AA4"/>
    <mergeCell ref="Z5:AA5"/>
    <mergeCell ref="X2:Y2"/>
    <mergeCell ref="X3:Y3"/>
    <mergeCell ref="X4:Y4"/>
    <mergeCell ref="X5:Y5"/>
    <mergeCell ref="H127:I127"/>
    <mergeCell ref="D73:D74"/>
    <mergeCell ref="D98:E98"/>
    <mergeCell ref="I98:J98"/>
    <mergeCell ref="D99:E99"/>
    <mergeCell ref="I99:J99"/>
    <mergeCell ref="H106:I106"/>
    <mergeCell ref="F99:G99"/>
  </mergeCells>
  <phoneticPr fontId="11"/>
  <pageMargins left="0.7" right="0.7" top="0.75" bottom="0.75" header="0.3" footer="0.3"/>
  <pageSetup paperSize="9" scale="26" orientation="portrait" r:id="rId1"/>
  <headerFooter>
    <oddHeader>&amp;C&amp;G</oddHeader>
    <oddFooter>&amp;C&amp;1#&amp;"맑은 고딕"&amp;6&amp;K737373관 윤 / 1628679@mobis.co.kr / 본 문서는 현대모비스의 대외비 정보자산이므로 무단 전재 및 복제할 수 없으며, 위반 시 당사 사규 및 관련 법규에 의해 제재될 수 있습니다.</oddFooter>
  </headerFooter>
  <drawing r:id="rId2"/>
  <legacyDrawing r:id="rId3"/>
  <legacyDrawingHF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sheetPr>
  <dimension ref="A1:V51"/>
  <sheetViews>
    <sheetView zoomScale="130" zoomScaleNormal="130" zoomScaleSheetLayoutView="145" workbookViewId="0">
      <selection activeCell="J12" sqref="J12"/>
    </sheetView>
  </sheetViews>
  <sheetFormatPr defaultColWidth="9" defaultRowHeight="15"/>
  <cols>
    <col min="1" max="1" width="5.7109375" style="32" customWidth="1"/>
    <col min="2" max="2" width="4.140625" style="32" customWidth="1"/>
    <col min="3" max="3" width="10.85546875" style="32" customWidth="1"/>
    <col min="4" max="4" width="21.140625" style="32" customWidth="1"/>
    <col min="5" max="5" width="13.85546875" style="32" customWidth="1"/>
    <col min="6" max="6" width="12.28515625" style="32" customWidth="1"/>
    <col min="7" max="8" width="18.140625" style="32" customWidth="1"/>
    <col min="9" max="9" width="22.42578125" style="32" customWidth="1"/>
    <col min="10" max="10" width="13.85546875" style="32" customWidth="1"/>
    <col min="11" max="11" width="14.42578125" style="32" customWidth="1"/>
    <col min="12" max="12" width="17.85546875" style="32" customWidth="1"/>
    <col min="13" max="13" width="14.28515625" style="32" customWidth="1"/>
    <col min="14" max="14" width="4.7109375" style="32" customWidth="1"/>
    <col min="15" max="15" width="9" style="32"/>
    <col min="16" max="16" width="4.7109375" style="32" customWidth="1"/>
    <col min="17" max="19" width="9" style="32"/>
    <col min="20" max="20" width="6.7109375" style="32" customWidth="1"/>
    <col min="21" max="21" width="7.7109375" style="32" customWidth="1"/>
    <col min="22" max="22" width="12.7109375" style="32" customWidth="1"/>
    <col min="23" max="23" width="12.7109375" style="32" bestFit="1" customWidth="1"/>
    <col min="24" max="24" width="11.7109375" style="32" customWidth="1"/>
    <col min="25" max="31" width="9" style="32"/>
    <col min="32" max="32" width="11.7109375" style="32" customWidth="1"/>
    <col min="33" max="16384" width="9" style="32"/>
  </cols>
  <sheetData>
    <row r="1" spans="1:14">
      <c r="A1" s="38"/>
      <c r="B1" s="38"/>
      <c r="C1" s="38"/>
      <c r="D1" s="38"/>
      <c r="E1" s="38"/>
      <c r="F1" s="38"/>
      <c r="G1" s="38"/>
      <c r="H1" s="38"/>
      <c r="I1" s="38"/>
      <c r="J1" s="43"/>
      <c r="K1" s="43"/>
      <c r="L1" s="166"/>
      <c r="M1" s="166"/>
      <c r="N1" s="60"/>
    </row>
    <row r="2" spans="1:14" ht="21">
      <c r="A2" s="38"/>
      <c r="B2" s="167"/>
      <c r="C2" s="38"/>
      <c r="D2" s="38"/>
      <c r="E2" s="38"/>
      <c r="F2" s="38"/>
      <c r="G2" s="38"/>
      <c r="H2" s="38"/>
      <c r="I2" s="41"/>
      <c r="J2" s="863" t="s">
        <v>6</v>
      </c>
      <c r="K2" s="864"/>
      <c r="L2" s="760" t="str">
        <f>Cover!$F$18</f>
        <v>ELM-803-FS-0001</v>
      </c>
      <c r="M2" s="761"/>
      <c r="N2" s="61"/>
    </row>
    <row r="3" spans="1:14" ht="15.75">
      <c r="A3" s="38"/>
      <c r="B3" s="38"/>
      <c r="C3" s="38"/>
      <c r="D3" s="38"/>
      <c r="E3" s="38"/>
      <c r="F3" s="38"/>
      <c r="G3" s="38"/>
      <c r="H3" s="38"/>
      <c r="I3" s="41"/>
      <c r="J3" s="865" t="s">
        <v>7</v>
      </c>
      <c r="K3" s="819"/>
      <c r="L3" s="15" t="str">
        <f>Cover!$F$19</f>
        <v>Safety Manager</v>
      </c>
      <c r="M3" s="40" t="str">
        <f>Cover!$G$19</f>
        <v>I. Kök</v>
      </c>
      <c r="N3" s="61"/>
    </row>
    <row r="4" spans="1:14" ht="15.75">
      <c r="A4" s="38"/>
      <c r="B4" s="38"/>
      <c r="C4" s="38"/>
      <c r="D4" s="38"/>
      <c r="E4" s="38"/>
      <c r="F4" s="38"/>
      <c r="G4" s="38"/>
      <c r="H4" s="38"/>
      <c r="I4" s="41"/>
      <c r="J4" s="865" t="s">
        <v>8</v>
      </c>
      <c r="K4" s="819"/>
      <c r="L4" s="762" t="str">
        <f>Cover!$F$20</f>
        <v>B2</v>
      </c>
      <c r="M4" s="763"/>
      <c r="N4" s="61"/>
    </row>
    <row r="5" spans="1:14" ht="15.75">
      <c r="A5" s="38"/>
      <c r="B5" s="38"/>
      <c r="C5" s="38"/>
      <c r="D5" s="38"/>
      <c r="E5" s="38"/>
      <c r="F5" s="38"/>
      <c r="G5" s="38"/>
      <c r="H5" s="38"/>
      <c r="I5" s="41"/>
      <c r="J5" s="866" t="s">
        <v>9</v>
      </c>
      <c r="K5" s="867"/>
      <c r="L5" s="764" t="str">
        <f>Cover!$F$21</f>
        <v>approved after review</v>
      </c>
      <c r="M5" s="765"/>
      <c r="N5" s="61"/>
    </row>
    <row r="6" spans="1:14" ht="15.75">
      <c r="A6" s="38"/>
      <c r="B6" s="38"/>
      <c r="C6" s="38"/>
      <c r="D6" s="38"/>
      <c r="E6" s="38"/>
      <c r="F6" s="38"/>
      <c r="G6" s="41"/>
      <c r="H6" s="42"/>
      <c r="I6" s="809"/>
      <c r="J6" s="879"/>
      <c r="K6" s="168"/>
      <c r="L6" s="169"/>
      <c r="M6" s="169"/>
      <c r="N6" s="61"/>
    </row>
    <row r="7" spans="1:14" ht="36">
      <c r="A7" s="810" t="str">
        <f>Cover!A7</f>
        <v>FMEDA</v>
      </c>
      <c r="B7" s="811"/>
      <c r="C7" s="811"/>
      <c r="D7" s="811"/>
      <c r="E7" s="811"/>
      <c r="F7" s="811"/>
      <c r="G7" s="811"/>
      <c r="H7" s="811"/>
      <c r="I7" s="811"/>
      <c r="J7" s="811"/>
      <c r="K7" s="811"/>
      <c r="L7" s="811"/>
      <c r="M7" s="811"/>
      <c r="N7" s="811"/>
    </row>
    <row r="8" spans="1:14" ht="36">
      <c r="A8" s="44"/>
      <c r="B8" s="44"/>
      <c r="C8" s="45"/>
      <c r="D8" s="45"/>
      <c r="E8" s="45"/>
      <c r="F8" s="46"/>
      <c r="G8" s="46"/>
      <c r="H8" s="46"/>
      <c r="I8" s="46"/>
      <c r="J8" s="46"/>
      <c r="K8" s="47"/>
      <c r="L8" s="43"/>
      <c r="M8" s="43"/>
      <c r="N8" s="119"/>
    </row>
    <row r="9" spans="1:14" ht="26.25">
      <c r="A9" s="766" t="str">
        <f>Cover!A9</f>
        <v>ID803 - Vega</v>
      </c>
      <c r="B9" s="812"/>
      <c r="C9" s="812"/>
      <c r="D9" s="812"/>
      <c r="E9" s="812"/>
      <c r="F9" s="812"/>
      <c r="G9" s="812"/>
      <c r="H9" s="812"/>
      <c r="I9" s="812"/>
      <c r="J9" s="812"/>
      <c r="K9" s="812"/>
      <c r="L9" s="812"/>
      <c r="M9" s="812"/>
      <c r="N9" s="813"/>
    </row>
    <row r="10" spans="1:14">
      <c r="B10" s="170"/>
      <c r="C10" s="170"/>
      <c r="D10" s="170"/>
      <c r="E10" s="170"/>
      <c r="F10" s="170"/>
      <c r="G10" s="170"/>
      <c r="H10" s="170"/>
      <c r="I10" s="170"/>
      <c r="J10" s="170"/>
      <c r="K10" s="170"/>
      <c r="L10" s="170"/>
      <c r="M10" s="170"/>
      <c r="N10" s="65"/>
    </row>
    <row r="11" spans="1:14" ht="24">
      <c r="A11" s="41"/>
      <c r="B11" s="791" t="s">
        <v>641</v>
      </c>
      <c r="C11" s="778"/>
      <c r="D11" s="778"/>
      <c r="E11" s="778"/>
      <c r="F11" s="778"/>
      <c r="G11" s="778"/>
      <c r="H11" s="778"/>
      <c r="I11" s="778"/>
      <c r="J11" s="778"/>
      <c r="K11" s="778"/>
      <c r="L11" s="778"/>
      <c r="M11" s="792"/>
      <c r="N11" s="61"/>
    </row>
    <row r="12" spans="1:14" ht="18.75">
      <c r="A12" s="41"/>
      <c r="B12" s="171"/>
      <c r="C12" s="172"/>
      <c r="D12" s="172"/>
      <c r="E12" s="172"/>
      <c r="F12" s="172"/>
      <c r="G12" s="172"/>
      <c r="H12" s="172"/>
      <c r="I12" s="172"/>
      <c r="J12" s="172"/>
      <c r="K12" s="169"/>
      <c r="L12" s="169"/>
      <c r="M12" s="173"/>
      <c r="N12" s="61"/>
    </row>
    <row r="13" spans="1:14">
      <c r="A13" s="61"/>
      <c r="B13" s="174"/>
      <c r="C13" s="38" t="s">
        <v>512</v>
      </c>
      <c r="D13" s="38"/>
      <c r="E13" s="38"/>
      <c r="F13" s="38"/>
      <c r="G13" s="38"/>
      <c r="H13" s="38"/>
      <c r="I13" s="38"/>
      <c r="J13" s="38"/>
      <c r="K13" s="38"/>
      <c r="L13" s="38"/>
      <c r="M13" s="175"/>
      <c r="N13" s="61"/>
    </row>
    <row r="14" spans="1:14" ht="15.75" thickBot="1">
      <c r="A14" s="61"/>
      <c r="B14" s="174"/>
      <c r="C14" s="43"/>
      <c r="D14" s="43"/>
      <c r="E14" s="43"/>
      <c r="F14" s="176"/>
      <c r="G14" s="43"/>
      <c r="H14" s="38"/>
      <c r="I14" s="38"/>
      <c r="J14" s="38"/>
      <c r="K14" s="38"/>
      <c r="L14" s="38"/>
      <c r="M14" s="175"/>
      <c r="N14" s="61"/>
    </row>
    <row r="15" spans="1:14">
      <c r="A15" s="61"/>
      <c r="B15" s="174"/>
      <c r="C15" s="886" t="s">
        <v>382</v>
      </c>
      <c r="D15" s="389" t="s">
        <v>383</v>
      </c>
      <c r="E15" s="390">
        <f>'Die_PKG Base Failure rate'!T27</f>
        <v>73.243731581992805</v>
      </c>
      <c r="F15" s="74"/>
      <c r="G15" s="38"/>
      <c r="H15" s="38"/>
      <c r="I15" s="38"/>
      <c r="J15" s="160"/>
      <c r="K15" s="38"/>
      <c r="L15" s="38"/>
      <c r="M15" s="175"/>
      <c r="N15" s="61"/>
    </row>
    <row r="16" spans="1:14">
      <c r="A16" s="61"/>
      <c r="B16" s="174"/>
      <c r="C16" s="887"/>
      <c r="D16" s="177" t="s">
        <v>384</v>
      </c>
      <c r="E16" s="745">
        <f>'Die_PKG Base Failure rate'!T26</f>
        <v>6.3327874313904076</v>
      </c>
      <c r="F16" s="74"/>
      <c r="G16" s="38"/>
      <c r="H16" s="38"/>
      <c r="I16" s="38"/>
      <c r="J16" s="38"/>
      <c r="K16" s="38"/>
      <c r="L16" s="38"/>
      <c r="M16" s="175"/>
      <c r="N16" s="61"/>
    </row>
    <row r="17" spans="1:22" ht="15.75" thickBot="1">
      <c r="A17" s="61"/>
      <c r="B17" s="174"/>
      <c r="C17" s="888" t="s">
        <v>385</v>
      </c>
      <c r="D17" s="889"/>
      <c r="E17" s="391">
        <f>12580000/(1000*1000)</f>
        <v>12.58</v>
      </c>
      <c r="F17" s="74"/>
      <c r="G17" s="38"/>
      <c r="H17" s="38"/>
      <c r="I17" s="38"/>
      <c r="J17" s="38"/>
      <c r="K17" s="38"/>
      <c r="L17" s="38"/>
      <c r="M17" s="175"/>
      <c r="N17" s="61"/>
    </row>
    <row r="18" spans="1:22" ht="15.75" thickBot="1">
      <c r="A18" s="61"/>
      <c r="B18" s="174"/>
      <c r="C18" s="166"/>
      <c r="D18" s="166"/>
      <c r="E18" s="166"/>
      <c r="F18" s="43"/>
      <c r="G18" s="43"/>
      <c r="H18" s="38"/>
      <c r="I18" s="178"/>
      <c r="J18" s="38"/>
      <c r="K18" s="38"/>
      <c r="L18" s="38"/>
      <c r="M18" s="175"/>
      <c r="N18" s="61"/>
    </row>
    <row r="19" spans="1:22">
      <c r="A19" s="61"/>
      <c r="B19" s="174"/>
      <c r="C19" s="890" t="s">
        <v>620</v>
      </c>
      <c r="D19" s="891"/>
      <c r="E19" s="394" t="s">
        <v>1126</v>
      </c>
      <c r="F19" s="393" t="s">
        <v>387</v>
      </c>
      <c r="G19" s="395" t="s">
        <v>1077</v>
      </c>
      <c r="H19" s="74"/>
      <c r="I19" s="38"/>
      <c r="J19" s="38"/>
      <c r="K19" s="38"/>
      <c r="L19" s="38"/>
      <c r="M19" s="175"/>
      <c r="N19" s="61"/>
    </row>
    <row r="20" spans="1:22">
      <c r="A20" s="61"/>
      <c r="B20" s="174"/>
      <c r="C20" s="895" t="s">
        <v>628</v>
      </c>
      <c r="D20" s="896"/>
      <c r="E20" s="396">
        <f>G48/(1000*1000)</f>
        <v>12.2964554055</v>
      </c>
      <c r="F20" s="396">
        <f>E20/E$17</f>
        <v>0.97746068406200315</v>
      </c>
      <c r="G20" s="397">
        <f>E16</f>
        <v>6.3327874313904076</v>
      </c>
      <c r="H20" s="424" t="s">
        <v>1164</v>
      </c>
      <c r="I20" s="38"/>
      <c r="J20" s="38"/>
      <c r="K20" s="38"/>
      <c r="L20" s="38"/>
      <c r="M20" s="175"/>
      <c r="N20" s="61"/>
    </row>
    <row r="21" spans="1:22">
      <c r="A21" s="61"/>
      <c r="B21" s="174"/>
      <c r="C21" s="399"/>
      <c r="D21" s="38"/>
      <c r="E21" s="38"/>
      <c r="F21" s="398" t="s">
        <v>1034</v>
      </c>
      <c r="G21" s="400" t="s">
        <v>1160</v>
      </c>
      <c r="H21" s="425"/>
      <c r="I21" s="38"/>
      <c r="J21" s="38"/>
      <c r="K21" s="38"/>
      <c r="L21" s="38"/>
      <c r="M21" s="175"/>
      <c r="N21" s="61"/>
    </row>
    <row r="22" spans="1:22" ht="30.75" customHeight="1">
      <c r="A22" s="61"/>
      <c r="B22" s="174"/>
      <c r="C22" s="892" t="s">
        <v>1064</v>
      </c>
      <c r="D22" s="893"/>
      <c r="E22" s="416">
        <v>48</v>
      </c>
      <c r="F22" s="423" t="s">
        <v>1163</v>
      </c>
      <c r="G22" s="431">
        <f>E15*0.1</f>
        <v>7.3243731581992808</v>
      </c>
      <c r="H22" s="424" t="s">
        <v>1165</v>
      </c>
      <c r="I22" s="38"/>
      <c r="J22" s="38"/>
      <c r="K22" s="38"/>
      <c r="L22" s="38"/>
      <c r="M22" s="175"/>
      <c r="N22" s="61"/>
    </row>
    <row r="23" spans="1:22" ht="15.75" thickBot="1">
      <c r="A23" s="61"/>
      <c r="B23" s="174"/>
      <c r="C23" s="894" t="s">
        <v>1063</v>
      </c>
      <c r="D23" s="889"/>
      <c r="E23" s="417" t="s">
        <v>388</v>
      </c>
      <c r="F23" s="417" t="s">
        <v>1163</v>
      </c>
      <c r="G23" s="432">
        <f>E15*0.9</f>
        <v>65.919358423793526</v>
      </c>
      <c r="H23" s="424" t="s">
        <v>1166</v>
      </c>
      <c r="I23" s="38"/>
      <c r="J23" s="38"/>
      <c r="K23" s="38"/>
      <c r="L23" s="38"/>
      <c r="M23" s="175"/>
      <c r="N23" s="61"/>
    </row>
    <row r="24" spans="1:22" ht="18.75">
      <c r="A24" s="41"/>
      <c r="B24" s="179"/>
      <c r="C24" s="392"/>
      <c r="D24" s="392"/>
      <c r="E24" s="392"/>
      <c r="F24" s="392"/>
      <c r="G24" s="392"/>
      <c r="H24" s="180"/>
      <c r="I24" s="180"/>
      <c r="J24" s="180"/>
      <c r="K24" s="38"/>
      <c r="L24" s="38"/>
      <c r="M24" s="175"/>
      <c r="N24" s="61"/>
      <c r="U24" s="181"/>
    </row>
    <row r="25" spans="1:22" ht="24">
      <c r="A25" s="41"/>
      <c r="B25" s="791" t="s">
        <v>513</v>
      </c>
      <c r="C25" s="778"/>
      <c r="D25" s="778"/>
      <c r="E25" s="778"/>
      <c r="F25" s="778"/>
      <c r="G25" s="778"/>
      <c r="H25" s="778"/>
      <c r="I25" s="778"/>
      <c r="J25" s="778"/>
      <c r="K25" s="778"/>
      <c r="L25" s="778"/>
      <c r="M25" s="792"/>
      <c r="N25" s="61"/>
      <c r="S25" s="182"/>
      <c r="T25" s="182"/>
      <c r="U25" s="182"/>
    </row>
    <row r="26" spans="1:22">
      <c r="A26" s="41"/>
      <c r="B26" s="183"/>
      <c r="C26" s="169"/>
      <c r="D26" s="169"/>
      <c r="E26" s="169"/>
      <c r="F26" s="169"/>
      <c r="G26" s="169"/>
      <c r="H26" s="169"/>
      <c r="I26" s="169"/>
      <c r="J26" s="169"/>
      <c r="K26" s="169"/>
      <c r="L26" s="169"/>
      <c r="M26" s="173"/>
      <c r="N26" s="61"/>
      <c r="S26" s="182"/>
      <c r="T26" s="182"/>
      <c r="U26" s="182"/>
    </row>
    <row r="27" spans="1:22">
      <c r="A27" s="61"/>
      <c r="B27" s="184"/>
      <c r="C27" s="62"/>
      <c r="D27" s="62"/>
      <c r="E27" s="62"/>
      <c r="F27" s="62"/>
      <c r="G27" s="62"/>
      <c r="H27" s="62"/>
      <c r="I27" s="62"/>
      <c r="J27" s="62"/>
      <c r="K27" s="62"/>
      <c r="L27" s="62"/>
      <c r="M27" s="185"/>
      <c r="N27" s="61"/>
      <c r="S27" s="182"/>
      <c r="T27" s="182"/>
      <c r="U27" s="182"/>
    </row>
    <row r="28" spans="1:22">
      <c r="A28" s="61"/>
      <c r="B28" s="184"/>
      <c r="C28" s="62"/>
      <c r="D28" s="62"/>
      <c r="E28" s="62"/>
      <c r="F28" s="62"/>
      <c r="G28" s="62"/>
      <c r="H28" s="62"/>
      <c r="I28" s="62"/>
      <c r="J28" s="62"/>
      <c r="K28" s="62"/>
      <c r="L28" s="62"/>
      <c r="M28" s="185"/>
      <c r="N28" s="61"/>
      <c r="S28" s="182"/>
      <c r="T28" s="182"/>
      <c r="U28" s="182"/>
    </row>
    <row r="29" spans="1:22">
      <c r="A29" s="61"/>
      <c r="B29" s="186"/>
      <c r="C29" s="43"/>
      <c r="D29" s="43"/>
      <c r="E29" s="43"/>
      <c r="F29" s="43"/>
      <c r="G29" s="43"/>
      <c r="H29" s="43"/>
      <c r="I29" s="43"/>
      <c r="J29" s="43"/>
      <c r="K29" s="43"/>
      <c r="L29" s="43"/>
      <c r="M29" s="187"/>
      <c r="N29" s="188"/>
      <c r="O29" s="39"/>
    </row>
    <row r="30" spans="1:22">
      <c r="A30" s="61"/>
      <c r="B30" s="876" t="s">
        <v>70</v>
      </c>
      <c r="C30" s="877"/>
      <c r="D30" s="878"/>
      <c r="E30" s="189" t="s">
        <v>612</v>
      </c>
      <c r="F30" s="189" t="s">
        <v>613</v>
      </c>
      <c r="G30" s="190" t="s">
        <v>614</v>
      </c>
      <c r="H30" s="191" t="s">
        <v>615</v>
      </c>
      <c r="I30" s="191" t="s">
        <v>616</v>
      </c>
      <c r="J30" s="190" t="s">
        <v>617</v>
      </c>
      <c r="K30" s="190" t="s">
        <v>618</v>
      </c>
      <c r="L30" s="192" t="s">
        <v>511</v>
      </c>
      <c r="M30" s="193"/>
      <c r="N30" s="188"/>
      <c r="O30" s="39"/>
    </row>
    <row r="31" spans="1:22">
      <c r="A31" s="61"/>
      <c r="B31" s="876" t="s">
        <v>862</v>
      </c>
      <c r="C31" s="877"/>
      <c r="D31" s="878"/>
      <c r="E31" s="32">
        <v>800</v>
      </c>
      <c r="F31" s="194">
        <v>123.53731249999998</v>
      </c>
      <c r="G31" s="32">
        <v>98829.849999999991</v>
      </c>
      <c r="H31" s="195">
        <v>1</v>
      </c>
      <c r="I31" s="196">
        <f>1/$F$20</f>
        <v>1.023059051177722</v>
      </c>
      <c r="J31" s="197">
        <f>G31*H31*I31</f>
        <v>101108.77256903658</v>
      </c>
      <c r="K31" s="426">
        <f>J31/$J$48</f>
        <v>8.0372633202731771E-3</v>
      </c>
      <c r="L31" s="430">
        <f>K31*$G$20</f>
        <v>5.0898280137401115E-2</v>
      </c>
      <c r="M31" s="193"/>
      <c r="N31" s="188"/>
      <c r="O31" s="39"/>
    </row>
    <row r="32" spans="1:22">
      <c r="A32" s="61"/>
      <c r="B32" s="876" t="s">
        <v>863</v>
      </c>
      <c r="C32" s="877"/>
      <c r="D32" s="878"/>
      <c r="E32" s="195">
        <v>924</v>
      </c>
      <c r="F32" s="195">
        <v>176.5</v>
      </c>
      <c r="G32" s="195">
        <v>163086</v>
      </c>
      <c r="H32" s="195">
        <v>1</v>
      </c>
      <c r="I32" s="196">
        <f t="shared" ref="I32:I46" si="0">1/$F$20</f>
        <v>1.023059051177722</v>
      </c>
      <c r="J32" s="197">
        <f>G32*H32*I32</f>
        <v>166846.60842036997</v>
      </c>
      <c r="K32" s="426">
        <f t="shared" ref="K32:K46" si="1">J32/$J$48</f>
        <v>1.326284645630922E-2</v>
      </c>
      <c r="L32" s="430">
        <f t="shared" ref="L32:L46" si="2">K32*$G$20</f>
        <v>8.3990787342975826E-2</v>
      </c>
      <c r="M32" s="193"/>
      <c r="N32" s="188"/>
      <c r="O32" s="39"/>
      <c r="R32" s="39"/>
      <c r="S32" s="39"/>
      <c r="T32" s="39"/>
      <c r="U32" s="39"/>
      <c r="V32" s="39"/>
    </row>
    <row r="33" spans="1:22">
      <c r="A33" s="61"/>
      <c r="B33" s="876" t="s">
        <v>864</v>
      </c>
      <c r="C33" s="877"/>
      <c r="D33" s="878"/>
      <c r="E33" s="195">
        <v>290.60000000000002</v>
      </c>
      <c r="F33" s="195">
        <v>251</v>
      </c>
      <c r="G33" s="195">
        <v>72940.600000000006</v>
      </c>
      <c r="H33" s="195">
        <v>1</v>
      </c>
      <c r="I33" s="196">
        <f t="shared" si="0"/>
        <v>1.023059051177722</v>
      </c>
      <c r="J33" s="197">
        <f t="shared" ref="J33:J44" si="3">G33*H33*I33</f>
        <v>74622.541028333755</v>
      </c>
      <c r="K33" s="426">
        <f t="shared" si="1"/>
        <v>5.9318395094064991E-3</v>
      </c>
      <c r="L33" s="430">
        <f t="shared" si="2"/>
        <v>3.7565078690194521E-2</v>
      </c>
      <c r="M33" s="193"/>
      <c r="N33" s="188"/>
      <c r="O33" s="39"/>
      <c r="R33" s="39"/>
      <c r="S33" s="39"/>
      <c r="T33" s="39"/>
      <c r="U33" s="39"/>
      <c r="V33" s="39"/>
    </row>
    <row r="34" spans="1:22">
      <c r="A34" s="61"/>
      <c r="B34" s="876" t="s">
        <v>865</v>
      </c>
      <c r="C34" s="877"/>
      <c r="D34" s="878"/>
      <c r="E34" s="195">
        <v>465.2</v>
      </c>
      <c r="F34" s="195">
        <v>111.4</v>
      </c>
      <c r="G34" s="195">
        <v>51823.28</v>
      </c>
      <c r="H34" s="195">
        <v>1</v>
      </c>
      <c r="I34" s="196">
        <f t="shared" si="0"/>
        <v>1.023059051177722</v>
      </c>
      <c r="J34" s="197">
        <f t="shared" si="3"/>
        <v>53018.275665717418</v>
      </c>
      <c r="K34" s="426">
        <f t="shared" si="1"/>
        <v>4.2144893215991588E-3</v>
      </c>
      <c r="L34" s="430">
        <f t="shared" si="2"/>
        <v>2.6689465005552238E-2</v>
      </c>
      <c r="M34" s="193"/>
      <c r="N34" s="61"/>
      <c r="R34" s="39"/>
      <c r="S34" s="39"/>
      <c r="T34" s="39"/>
      <c r="U34" s="39"/>
      <c r="V34" s="39"/>
    </row>
    <row r="35" spans="1:22">
      <c r="A35" s="61"/>
      <c r="B35" s="876" t="s">
        <v>866</v>
      </c>
      <c r="C35" s="877"/>
      <c r="D35" s="878"/>
      <c r="E35" s="195">
        <v>172.3</v>
      </c>
      <c r="F35" s="195">
        <v>112.6</v>
      </c>
      <c r="G35" s="195">
        <v>19400.98</v>
      </c>
      <c r="H35" s="195">
        <v>1</v>
      </c>
      <c r="I35" s="196">
        <f t="shared" si="0"/>
        <v>1.023059051177722</v>
      </c>
      <c r="J35" s="197">
        <f t="shared" si="3"/>
        <v>19848.348190717959</v>
      </c>
      <c r="K35" s="426">
        <f t="shared" si="1"/>
        <v>1.5777701264481684E-3</v>
      </c>
      <c r="L35" s="430">
        <f t="shared" si="2"/>
        <v>9.9916828263942152E-3</v>
      </c>
      <c r="M35" s="193"/>
      <c r="N35" s="61"/>
      <c r="R35" s="39"/>
      <c r="S35" s="39"/>
      <c r="T35" s="39"/>
      <c r="U35" s="39"/>
      <c r="V35" s="39"/>
    </row>
    <row r="36" spans="1:22">
      <c r="A36" s="61"/>
      <c r="B36" s="876" t="s">
        <v>867</v>
      </c>
      <c r="C36" s="877"/>
      <c r="D36" s="878"/>
      <c r="E36" s="195">
        <v>264.2</v>
      </c>
      <c r="F36" s="195">
        <v>267.3</v>
      </c>
      <c r="G36" s="195">
        <v>70620.66</v>
      </c>
      <c r="H36" s="195">
        <v>1</v>
      </c>
      <c r="I36" s="196">
        <f t="shared" si="0"/>
        <v>1.023059051177722</v>
      </c>
      <c r="J36" s="197">
        <f t="shared" ref="J36:J38" si="4">G36*H36*I36</f>
        <v>72249.105413144513</v>
      </c>
      <c r="K36" s="426">
        <f t="shared" si="1"/>
        <v>5.7431721314105339E-3</v>
      </c>
      <c r="L36" s="430">
        <f t="shared" ref="L36:L38" si="5">K36*$G$20</f>
        <v>3.6370288290108285E-2</v>
      </c>
      <c r="M36" s="193"/>
      <c r="N36" s="61"/>
      <c r="R36" s="39"/>
      <c r="S36" s="39"/>
      <c r="T36" s="39"/>
      <c r="U36" s="39"/>
      <c r="V36" s="39"/>
    </row>
    <row r="37" spans="1:22">
      <c r="A37" s="61"/>
      <c r="B37" s="876" t="s">
        <v>868</v>
      </c>
      <c r="C37" s="877"/>
      <c r="D37" s="878"/>
      <c r="E37" s="195">
        <v>252.5</v>
      </c>
      <c r="F37" s="195">
        <v>434.7</v>
      </c>
      <c r="G37" s="195">
        <v>109761.75</v>
      </c>
      <c r="H37" s="195">
        <v>1</v>
      </c>
      <c r="I37" s="196">
        <f t="shared" si="0"/>
        <v>1.023059051177722</v>
      </c>
      <c r="J37" s="197">
        <f t="shared" si="4"/>
        <v>112292.75181060632</v>
      </c>
      <c r="K37" s="426">
        <f t="shared" si="1"/>
        <v>8.9262918768367502E-3</v>
      </c>
      <c r="L37" s="430">
        <f t="shared" si="5"/>
        <v>5.6528309006554062E-2</v>
      </c>
      <c r="M37" s="193"/>
      <c r="N37" s="61"/>
      <c r="R37" s="39"/>
      <c r="S37" s="39"/>
      <c r="T37" s="39"/>
      <c r="U37" s="39"/>
      <c r="V37" s="39"/>
    </row>
    <row r="38" spans="1:22">
      <c r="A38" s="61"/>
      <c r="B38" s="876" t="s">
        <v>869</v>
      </c>
      <c r="C38" s="877"/>
      <c r="D38" s="878"/>
      <c r="E38" s="195">
        <v>864.8</v>
      </c>
      <c r="F38" s="195">
        <v>961.7</v>
      </c>
      <c r="G38" s="195">
        <v>831678.16</v>
      </c>
      <c r="H38" s="195">
        <v>1</v>
      </c>
      <c r="I38" s="196">
        <f t="shared" si="0"/>
        <v>1.023059051177722</v>
      </c>
      <c r="J38" s="197">
        <f t="shared" si="4"/>
        <v>850855.86925483367</v>
      </c>
      <c r="K38" s="426">
        <f t="shared" si="1"/>
        <v>6.763560168957343E-2</v>
      </c>
      <c r="L38" s="430">
        <f t="shared" si="5"/>
        <v>0.42832188829425843</v>
      </c>
      <c r="M38" s="193"/>
      <c r="N38" s="61"/>
      <c r="R38" s="39"/>
      <c r="S38" s="39"/>
      <c r="T38" s="39"/>
      <c r="U38" s="39"/>
      <c r="V38" s="39"/>
    </row>
    <row r="39" spans="1:22">
      <c r="A39" s="61"/>
      <c r="B39" s="876" t="s">
        <v>870</v>
      </c>
      <c r="C39" s="877"/>
      <c r="D39" s="878"/>
      <c r="E39" s="195">
        <v>1730</v>
      </c>
      <c r="F39" s="195">
        <v>742</v>
      </c>
      <c r="G39" s="195">
        <v>1283660</v>
      </c>
      <c r="H39" s="195">
        <v>1</v>
      </c>
      <c r="I39" s="196">
        <f t="shared" si="0"/>
        <v>1.023059051177722</v>
      </c>
      <c r="J39" s="197">
        <f t="shared" ref="J39:J41" si="6">G39*H39*I39</f>
        <v>1313259.9816347947</v>
      </c>
      <c r="K39" s="426">
        <f t="shared" si="1"/>
        <v>0.10439268534457828</v>
      </c>
      <c r="L39" s="430">
        <f t="shared" ref="L39:L41" si="7">K39*$G$20</f>
        <v>0.66109668567923896</v>
      </c>
      <c r="M39" s="193"/>
      <c r="N39" s="61"/>
      <c r="R39" s="39"/>
      <c r="S39" s="39"/>
      <c r="T39" s="39"/>
      <c r="U39" s="39"/>
      <c r="V39" s="39"/>
    </row>
    <row r="40" spans="1:22">
      <c r="A40" s="61"/>
      <c r="B40" s="876" t="s">
        <v>871</v>
      </c>
      <c r="C40" s="877"/>
      <c r="D40" s="878"/>
      <c r="E40" s="195">
        <v>263.8</v>
      </c>
      <c r="F40" s="195">
        <v>122.6</v>
      </c>
      <c r="G40" s="195">
        <v>32341.88</v>
      </c>
      <c r="H40" s="195">
        <v>1</v>
      </c>
      <c r="I40" s="196">
        <f t="shared" si="0"/>
        <v>1.023059051177722</v>
      </c>
      <c r="J40" s="197">
        <f t="shared" si="6"/>
        <v>33087.653066103747</v>
      </c>
      <c r="K40" s="426">
        <f t="shared" si="1"/>
        <v>2.6301790990543518E-3</v>
      </c>
      <c r="L40" s="430">
        <f t="shared" si="7"/>
        <v>1.6656365140797144E-2</v>
      </c>
      <c r="M40" s="193"/>
      <c r="N40" s="61"/>
      <c r="R40" s="39"/>
      <c r="S40" s="39"/>
      <c r="T40" s="39"/>
      <c r="U40" s="39"/>
      <c r="V40" s="39"/>
    </row>
    <row r="41" spans="1:22">
      <c r="A41" s="61"/>
      <c r="B41" s="876" t="s">
        <v>872</v>
      </c>
      <c r="C41" s="877"/>
      <c r="D41" s="878"/>
      <c r="E41" s="195">
        <v>376</v>
      </c>
      <c r="F41" s="195">
        <v>226.8</v>
      </c>
      <c r="G41" s="195">
        <v>85276.800000000003</v>
      </c>
      <c r="H41" s="195">
        <v>1</v>
      </c>
      <c r="I41" s="196">
        <f t="shared" si="0"/>
        <v>1.023059051177722</v>
      </c>
      <c r="J41" s="197">
        <f t="shared" si="6"/>
        <v>87243.20209547237</v>
      </c>
      <c r="K41" s="426">
        <f t="shared" si="1"/>
        <v>6.9350717087020963E-3</v>
      </c>
      <c r="L41" s="430">
        <f t="shared" si="7"/>
        <v>4.3918334952659836E-2</v>
      </c>
      <c r="M41" s="193"/>
      <c r="N41" s="61"/>
      <c r="R41" s="39"/>
      <c r="S41" s="39"/>
      <c r="T41" s="39"/>
      <c r="U41" s="39"/>
      <c r="V41" s="39"/>
    </row>
    <row r="42" spans="1:22">
      <c r="A42" s="61"/>
      <c r="B42" s="876" t="s">
        <v>873</v>
      </c>
      <c r="C42" s="877"/>
      <c r="D42" s="878"/>
      <c r="E42" s="195">
        <v>1311</v>
      </c>
      <c r="F42" s="195">
        <v>1765</v>
      </c>
      <c r="G42" s="195">
        <v>2313915</v>
      </c>
      <c r="H42" s="195">
        <v>1</v>
      </c>
      <c r="I42" s="196">
        <f t="shared" si="0"/>
        <v>1.023059051177722</v>
      </c>
      <c r="J42" s="197">
        <f t="shared" si="3"/>
        <v>2367271.6844058987</v>
      </c>
      <c r="K42" s="426">
        <f t="shared" si="1"/>
        <v>0.18817739939633535</v>
      </c>
      <c r="L42" s="430">
        <f t="shared" si="2"/>
        <v>1.1916874697688453</v>
      </c>
      <c r="M42" s="193"/>
      <c r="N42" s="61"/>
      <c r="R42" s="39"/>
      <c r="S42" s="39"/>
      <c r="T42" s="39"/>
      <c r="U42" s="39"/>
      <c r="V42" s="39"/>
    </row>
    <row r="43" spans="1:22">
      <c r="A43" s="61"/>
      <c r="B43" s="876" t="s">
        <v>874</v>
      </c>
      <c r="C43" s="877"/>
      <c r="D43" s="878"/>
      <c r="E43" s="195">
        <v>1311</v>
      </c>
      <c r="F43" s="195">
        <v>1765</v>
      </c>
      <c r="G43" s="195">
        <v>2313915</v>
      </c>
      <c r="H43" s="195">
        <v>1</v>
      </c>
      <c r="I43" s="196">
        <f t="shared" si="0"/>
        <v>1.023059051177722</v>
      </c>
      <c r="J43" s="197">
        <f t="shared" si="3"/>
        <v>2367271.6844058987</v>
      </c>
      <c r="K43" s="426">
        <f t="shared" si="1"/>
        <v>0.18817739939633535</v>
      </c>
      <c r="L43" s="430">
        <f t="shared" si="2"/>
        <v>1.1916874697688453</v>
      </c>
      <c r="M43" s="193"/>
      <c r="N43" s="61"/>
      <c r="R43" s="39"/>
      <c r="S43" s="39"/>
      <c r="T43" s="39"/>
      <c r="U43" s="39"/>
      <c r="V43" s="39"/>
    </row>
    <row r="44" spans="1:22">
      <c r="A44" s="61"/>
      <c r="B44" s="876" t="s">
        <v>875</v>
      </c>
      <c r="C44" s="877"/>
      <c r="D44" s="878"/>
      <c r="E44" s="429">
        <v>1900</v>
      </c>
      <c r="F44" s="428">
        <v>1121.1367263157895</v>
      </c>
      <c r="G44" s="429">
        <v>2130159.7799999998</v>
      </c>
      <c r="H44" s="195">
        <v>1</v>
      </c>
      <c r="I44" s="196">
        <f t="shared" si="0"/>
        <v>1.023059051177722</v>
      </c>
      <c r="J44" s="197">
        <f t="shared" si="3"/>
        <v>2179279.2433837447</v>
      </c>
      <c r="K44" s="426">
        <f t="shared" si="1"/>
        <v>0.1732336441481514</v>
      </c>
      <c r="L44" s="430">
        <f t="shared" si="2"/>
        <v>1.0970518443553716</v>
      </c>
      <c r="M44" s="198"/>
      <c r="N44" s="61"/>
    </row>
    <row r="45" spans="1:22">
      <c r="A45" s="61"/>
      <c r="B45" s="876" t="s">
        <v>876</v>
      </c>
      <c r="C45" s="877"/>
      <c r="D45" s="878"/>
      <c r="E45" s="195">
        <v>1900</v>
      </c>
      <c r="F45" s="427">
        <v>1122.8948263157895</v>
      </c>
      <c r="G45" s="195">
        <v>2133500.17</v>
      </c>
      <c r="H45" s="195">
        <v>1</v>
      </c>
      <c r="I45" s="196">
        <f t="shared" si="0"/>
        <v>1.023059051177722</v>
      </c>
      <c r="J45" s="199">
        <f>(G45*H45)*I45</f>
        <v>2182696.6596077085</v>
      </c>
      <c r="K45" s="426">
        <f t="shared" si="1"/>
        <v>0.17350529885593866</v>
      </c>
      <c r="L45" s="430">
        <f t="shared" si="2"/>
        <v>1.0987721758745248</v>
      </c>
      <c r="M45" s="193"/>
      <c r="N45" s="61"/>
    </row>
    <row r="46" spans="1:22">
      <c r="A46" s="61"/>
      <c r="B46" s="876" t="s">
        <v>1169</v>
      </c>
      <c r="C46" s="877"/>
      <c r="D46" s="877"/>
      <c r="E46" s="435" t="s">
        <v>1170</v>
      </c>
      <c r="F46" s="436" t="s">
        <v>1170</v>
      </c>
      <c r="G46" s="433">
        <v>585545.49550000008</v>
      </c>
      <c r="H46" s="435">
        <v>1</v>
      </c>
      <c r="I46" s="196">
        <f t="shared" si="0"/>
        <v>1.023059051177722</v>
      </c>
      <c r="J46" s="199">
        <f>(G46*H46)*I46</f>
        <v>599047.61904761917</v>
      </c>
      <c r="K46" s="434">
        <f t="shared" si="1"/>
        <v>4.761904761904763E-2</v>
      </c>
      <c r="L46" s="430">
        <f t="shared" si="2"/>
        <v>0.30156130625668615</v>
      </c>
      <c r="M46" s="193"/>
      <c r="N46" s="61"/>
    </row>
    <row r="47" spans="1:22">
      <c r="A47" s="61"/>
      <c r="B47" s="871"/>
      <c r="C47" s="872"/>
      <c r="D47" s="872"/>
      <c r="M47" s="200"/>
      <c r="N47" s="61"/>
    </row>
    <row r="48" spans="1:22">
      <c r="A48" s="61"/>
      <c r="B48" s="873" t="s">
        <v>71</v>
      </c>
      <c r="C48" s="874"/>
      <c r="D48" s="875"/>
      <c r="E48" s="201"/>
      <c r="F48" s="201"/>
      <c r="G48" s="202">
        <f>SUM(G31:G46)</f>
        <v>12296455.4055</v>
      </c>
      <c r="H48" s="203" t="s">
        <v>72</v>
      </c>
      <c r="I48" s="203"/>
      <c r="J48" s="204">
        <f>SUM(J31:J46)</f>
        <v>12580000</v>
      </c>
      <c r="K48" s="205">
        <f>SUM(K31:K46)</f>
        <v>1.0000000000000002</v>
      </c>
      <c r="L48" s="744">
        <f>SUM(L31:L46)</f>
        <v>6.3327874313904085</v>
      </c>
      <c r="M48" s="206"/>
      <c r="N48" s="61"/>
    </row>
    <row r="49" spans="1:15">
      <c r="A49" s="61"/>
      <c r="B49" s="868"/>
      <c r="C49" s="869"/>
      <c r="D49" s="870"/>
      <c r="E49" s="207"/>
      <c r="F49" s="207"/>
      <c r="G49" s="207" t="s">
        <v>1136</v>
      </c>
      <c r="H49" s="207"/>
      <c r="I49" s="207"/>
      <c r="J49" s="207" t="s">
        <v>1167</v>
      </c>
      <c r="K49" s="208" t="s">
        <v>73</v>
      </c>
      <c r="L49" s="208" t="s">
        <v>74</v>
      </c>
      <c r="M49" s="209"/>
      <c r="N49" s="119"/>
    </row>
    <row r="50" spans="1:15">
      <c r="A50" s="61"/>
      <c r="B50" s="883" t="s">
        <v>1127</v>
      </c>
      <c r="C50" s="884"/>
      <c r="D50" s="884"/>
      <c r="E50" s="885"/>
      <c r="F50" s="207" t="s">
        <v>69</v>
      </c>
      <c r="G50" s="210"/>
      <c r="H50" s="207"/>
      <c r="I50" s="207"/>
      <c r="J50" s="207">
        <f>H50-I50</f>
        <v>0</v>
      </c>
      <c r="K50" s="208"/>
      <c r="L50" s="208"/>
      <c r="M50" s="209"/>
      <c r="N50" s="188"/>
      <c r="O50" s="39"/>
    </row>
    <row r="51" spans="1:15">
      <c r="A51" s="61"/>
      <c r="B51" s="880"/>
      <c r="C51" s="881"/>
      <c r="D51" s="881"/>
      <c r="E51" s="882"/>
      <c r="F51" s="211"/>
      <c r="G51" s="9"/>
      <c r="H51" s="212"/>
      <c r="I51" s="38"/>
      <c r="J51" s="212"/>
      <c r="K51" s="38"/>
      <c r="L51" s="38"/>
      <c r="M51" s="175"/>
      <c r="N51" s="188"/>
      <c r="O51" s="39"/>
    </row>
  </sheetData>
  <mergeCells count="40">
    <mergeCell ref="B51:E51"/>
    <mergeCell ref="B50:E50"/>
    <mergeCell ref="A7:N7"/>
    <mergeCell ref="B11:M11"/>
    <mergeCell ref="C15:C16"/>
    <mergeCell ref="C17:D17"/>
    <mergeCell ref="C19:D19"/>
    <mergeCell ref="B25:M25"/>
    <mergeCell ref="C22:D22"/>
    <mergeCell ref="C23:D23"/>
    <mergeCell ref="A9:N9"/>
    <mergeCell ref="C20:D20"/>
    <mergeCell ref="B30:D30"/>
    <mergeCell ref="B31:D31"/>
    <mergeCell ref="B32:D32"/>
    <mergeCell ref="B33:D33"/>
    <mergeCell ref="L2:M2"/>
    <mergeCell ref="L4:M4"/>
    <mergeCell ref="L5:M5"/>
    <mergeCell ref="I6:J6"/>
    <mergeCell ref="J2:K2"/>
    <mergeCell ref="J3:K3"/>
    <mergeCell ref="J4:K4"/>
    <mergeCell ref="J5:K5"/>
    <mergeCell ref="B34:D34"/>
    <mergeCell ref="B35:D35"/>
    <mergeCell ref="B42:D42"/>
    <mergeCell ref="B43:D43"/>
    <mergeCell ref="B39:D39"/>
    <mergeCell ref="B40:D40"/>
    <mergeCell ref="B41:D41"/>
    <mergeCell ref="B36:D36"/>
    <mergeCell ref="B37:D37"/>
    <mergeCell ref="B38:D38"/>
    <mergeCell ref="B49:D49"/>
    <mergeCell ref="B47:D47"/>
    <mergeCell ref="B48:D48"/>
    <mergeCell ref="B44:D44"/>
    <mergeCell ref="B45:D45"/>
    <mergeCell ref="B46:D46"/>
  </mergeCells>
  <phoneticPr fontId="2"/>
  <pageMargins left="0.70866141732283472" right="0.70866141732283472" top="0.74803149606299213" bottom="0.74803149606299213" header="0.31496062992125984" footer="0.31496062992125984"/>
  <pageSetup paperSize="9" scale="21" orientation="portrait" r:id="rId1"/>
  <headerFooter>
    <oddHeader>&amp;C&amp;G</oddHeader>
    <oddFooter>&amp;C&amp;1#&amp;"맑은 고딕"&amp;6&amp;K737373관 윤 / 1628679@mobis.co.kr / 본 문서는 현대모비스의 대외비 정보자산이므로 무단 전재 및 복제할 수 없으며, 위반 시 당사 사규 및 관련 법규에 의해 제재될 수 있습니다.</oddFooter>
  </headerFooter>
  <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4"/>
  </sheetPr>
  <dimension ref="A1:AH190"/>
  <sheetViews>
    <sheetView topLeftCell="A19" zoomScale="70" zoomScaleNormal="70" zoomScaleSheetLayoutView="10" workbookViewId="0">
      <selection activeCell="B21" sqref="B21:L28"/>
    </sheetView>
  </sheetViews>
  <sheetFormatPr defaultColWidth="9" defaultRowHeight="15"/>
  <cols>
    <col min="1" max="1" width="3" style="488" customWidth="1"/>
    <col min="2" max="2" width="19.85546875" style="488" bestFit="1" customWidth="1"/>
    <col min="3" max="3" width="14.7109375" style="488" customWidth="1"/>
    <col min="4" max="4" width="13.42578125" style="488" bestFit="1" customWidth="1"/>
    <col min="5" max="5" width="15.85546875" style="488" customWidth="1"/>
    <col min="6" max="6" width="15" style="488" bestFit="1" customWidth="1"/>
    <col min="7" max="7" width="82.42578125" style="488" customWidth="1"/>
    <col min="8" max="8" width="19.28515625" style="488" bestFit="1" customWidth="1"/>
    <col min="9" max="9" width="66.42578125" style="503" bestFit="1" customWidth="1"/>
    <col min="10" max="10" width="35.85546875" style="488" bestFit="1" customWidth="1"/>
    <col min="11" max="11" width="27.7109375" style="488" bestFit="1" customWidth="1"/>
    <col min="12" max="12" width="7" style="488" bestFit="1" customWidth="1"/>
    <col min="13" max="13" width="31.140625" style="488" customWidth="1"/>
    <col min="14" max="14" width="3.42578125" style="488" customWidth="1"/>
    <col min="15" max="15" width="21.140625" style="525" bestFit="1" customWidth="1"/>
    <col min="16" max="16" width="19.42578125" style="488" bestFit="1" customWidth="1"/>
    <col min="17" max="17" width="15" style="488" bestFit="1" customWidth="1"/>
    <col min="18" max="18" width="18.42578125" style="488" bestFit="1" customWidth="1"/>
    <col min="19" max="19" width="42.28515625" style="488" bestFit="1" customWidth="1"/>
    <col min="20" max="20" width="26" style="488" bestFit="1" customWidth="1"/>
    <col min="21" max="21" width="12.42578125" style="488" bestFit="1" customWidth="1"/>
    <col min="22" max="22" width="20.85546875" style="488" bestFit="1" customWidth="1"/>
    <col min="23" max="23" width="5.28515625" style="488" bestFit="1" customWidth="1"/>
    <col min="24" max="24" width="22.7109375" style="488" bestFit="1" customWidth="1"/>
    <col min="25" max="25" width="42.28515625" style="488" bestFit="1" customWidth="1"/>
    <col min="26" max="27" width="12.42578125" style="488" bestFit="1" customWidth="1"/>
    <col min="28" max="28" width="17.7109375" style="488" customWidth="1"/>
    <col min="29" max="29" width="4" style="488" customWidth="1"/>
    <col min="30" max="30" width="50.140625" style="488" customWidth="1"/>
    <col min="31" max="31" width="30.7109375" style="488" customWidth="1"/>
    <col min="32" max="32" width="6" style="488" customWidth="1"/>
    <col min="33" max="41" width="19.7109375" style="488" customWidth="1"/>
    <col min="42" max="16384" width="9" style="488"/>
  </cols>
  <sheetData>
    <row r="1" spans="1:34" ht="15.75">
      <c r="A1" s="120"/>
      <c r="B1" s="135"/>
      <c r="C1" s="120"/>
      <c r="D1" s="120"/>
      <c r="E1" s="120"/>
      <c r="F1" s="120"/>
      <c r="G1" s="135"/>
      <c r="H1" s="120"/>
      <c r="I1" s="120"/>
      <c r="J1" s="120"/>
      <c r="K1" s="120"/>
      <c r="L1" s="508"/>
      <c r="M1" s="508"/>
      <c r="N1" s="120"/>
      <c r="O1" s="519"/>
      <c r="P1" s="120"/>
      <c r="Q1" s="120"/>
      <c r="R1" s="120"/>
      <c r="S1" s="120"/>
      <c r="T1" s="120"/>
      <c r="U1" s="120"/>
      <c r="V1" s="120"/>
      <c r="W1" s="120"/>
      <c r="X1" s="120"/>
      <c r="Y1" s="120"/>
      <c r="Z1" s="120"/>
      <c r="AA1" s="120"/>
      <c r="AB1" s="120"/>
      <c r="AC1" s="120"/>
      <c r="AD1" s="120"/>
      <c r="AE1" s="120"/>
      <c r="AF1" s="120"/>
      <c r="AG1" s="120"/>
    </row>
    <row r="2" spans="1:34" ht="15.75" customHeight="1">
      <c r="A2" s="120"/>
      <c r="B2" s="135"/>
      <c r="C2" s="120" t="s">
        <v>1075</v>
      </c>
      <c r="D2" s="120"/>
      <c r="E2" s="120"/>
      <c r="F2" s="120"/>
      <c r="G2" s="135"/>
      <c r="H2" s="120"/>
      <c r="I2" s="120"/>
      <c r="J2" s="120"/>
      <c r="K2" s="120"/>
      <c r="L2" s="508"/>
      <c r="M2" s="508"/>
      <c r="N2" s="120"/>
      <c r="O2" s="519"/>
      <c r="P2" s="120"/>
      <c r="Q2" s="120"/>
      <c r="R2" s="120"/>
      <c r="S2" s="120"/>
      <c r="T2" s="120"/>
      <c r="U2" s="120"/>
      <c r="V2" s="120"/>
      <c r="W2" s="120"/>
      <c r="X2" s="120"/>
      <c r="Y2" s="120"/>
      <c r="Z2" s="120"/>
      <c r="AA2" s="120"/>
      <c r="AB2" s="120"/>
      <c r="AC2" s="120"/>
      <c r="AD2" s="121"/>
      <c r="AE2" s="121"/>
      <c r="AF2" s="121"/>
      <c r="AG2" s="120"/>
    </row>
    <row r="3" spans="1:34" ht="15.75" customHeight="1">
      <c r="A3" s="120"/>
      <c r="B3" s="135"/>
      <c r="C3" s="120"/>
      <c r="D3" s="120"/>
      <c r="E3" s="120"/>
      <c r="F3" s="120"/>
      <c r="G3" s="135"/>
      <c r="H3" s="120"/>
      <c r="I3" s="120"/>
      <c r="J3" s="120"/>
      <c r="K3" s="120"/>
      <c r="L3" s="508"/>
      <c r="M3" s="508"/>
      <c r="N3" s="120"/>
      <c r="O3" s="519"/>
      <c r="P3" s="120"/>
      <c r="Q3" s="120"/>
      <c r="R3" s="120"/>
      <c r="S3" s="120"/>
      <c r="T3" s="120"/>
      <c r="U3" s="120"/>
      <c r="V3" s="120"/>
      <c r="W3" s="120"/>
      <c r="X3" s="120"/>
      <c r="Y3" s="120"/>
      <c r="Z3" s="120"/>
      <c r="AA3" s="120"/>
      <c r="AB3" s="915" t="s">
        <v>6</v>
      </c>
      <c r="AC3" s="916"/>
      <c r="AD3" s="823" t="str">
        <f>Cover!$F$18</f>
        <v>ELM-803-FS-0001</v>
      </c>
      <c r="AE3" s="824"/>
      <c r="AF3" s="122"/>
      <c r="AG3" s="120"/>
    </row>
    <row r="4" spans="1:34" ht="15.75" customHeight="1">
      <c r="A4" s="120"/>
      <c r="B4" s="135"/>
      <c r="C4" s="120"/>
      <c r="D4" s="120"/>
      <c r="E4" s="120"/>
      <c r="F4" s="120"/>
      <c r="G4" s="135"/>
      <c r="H4" s="120"/>
      <c r="I4" s="120"/>
      <c r="J4" s="120"/>
      <c r="K4" s="120"/>
      <c r="L4" s="508"/>
      <c r="M4" s="508"/>
      <c r="N4" s="120"/>
      <c r="O4" s="519"/>
      <c r="P4" s="120"/>
      <c r="Q4" s="120"/>
      <c r="R4" s="120"/>
      <c r="S4" s="120"/>
      <c r="T4" s="120"/>
      <c r="U4" s="120"/>
      <c r="V4" s="120"/>
      <c r="W4" s="120"/>
      <c r="X4" s="120"/>
      <c r="Y4" s="120"/>
      <c r="Z4" s="120"/>
      <c r="AA4" s="120"/>
      <c r="AB4" s="917"/>
      <c r="AC4" s="918"/>
      <c r="AD4" s="509" t="str">
        <f>Cover!$F$19</f>
        <v>Safety Manager</v>
      </c>
      <c r="AE4" s="40" t="str">
        <f>Cover!$G$19</f>
        <v>I. Kök</v>
      </c>
      <c r="AF4" s="122"/>
      <c r="AG4" s="120"/>
    </row>
    <row r="5" spans="1:34" ht="15.75" customHeight="1">
      <c r="A5" s="120"/>
      <c r="B5" s="135"/>
      <c r="C5" s="120"/>
      <c r="D5" s="120"/>
      <c r="E5" s="120"/>
      <c r="F5" s="120"/>
      <c r="G5" s="135"/>
      <c r="H5" s="120"/>
      <c r="I5" s="120"/>
      <c r="J5" s="120"/>
      <c r="K5" s="120"/>
      <c r="L5" s="508"/>
      <c r="M5" s="508"/>
      <c r="N5" s="120"/>
      <c r="O5" s="519"/>
      <c r="P5" s="120"/>
      <c r="Q5" s="120"/>
      <c r="R5" s="120"/>
      <c r="S5" s="120"/>
      <c r="T5" s="120"/>
      <c r="U5" s="120"/>
      <c r="V5" s="120"/>
      <c r="W5" s="120"/>
      <c r="X5" s="120"/>
      <c r="Y5" s="120"/>
      <c r="Z5" s="120"/>
      <c r="AA5" s="120"/>
      <c r="AB5" s="917"/>
      <c r="AC5" s="918"/>
      <c r="AD5" s="825" t="str">
        <f>Cover!$F$20</f>
        <v>B2</v>
      </c>
      <c r="AE5" s="826"/>
      <c r="AF5" s="122"/>
      <c r="AG5" s="120"/>
    </row>
    <row r="6" spans="1:34" ht="15.75" customHeight="1">
      <c r="A6" s="120"/>
      <c r="B6" s="135"/>
      <c r="C6" s="120"/>
      <c r="D6" s="120"/>
      <c r="E6" s="120"/>
      <c r="F6" s="120"/>
      <c r="G6" s="135"/>
      <c r="H6" s="120"/>
      <c r="I6" s="120"/>
      <c r="J6" s="120"/>
      <c r="K6" s="120"/>
      <c r="L6" s="508"/>
      <c r="M6" s="508"/>
      <c r="N6" s="120"/>
      <c r="O6" s="519"/>
      <c r="P6" s="120"/>
      <c r="Q6" s="120"/>
      <c r="R6" s="120"/>
      <c r="S6" s="120"/>
      <c r="T6" s="120"/>
      <c r="U6" s="120"/>
      <c r="V6" s="120"/>
      <c r="W6" s="120"/>
      <c r="X6" s="120"/>
      <c r="Y6" s="120"/>
      <c r="Z6" s="120"/>
      <c r="AA6" s="120"/>
      <c r="AB6" s="919"/>
      <c r="AC6" s="920"/>
      <c r="AD6" s="827" t="str">
        <f>Cover!$F$21</f>
        <v>approved after review</v>
      </c>
      <c r="AE6" s="828"/>
      <c r="AF6" s="122"/>
      <c r="AG6" s="120"/>
    </row>
    <row r="7" spans="1:34" ht="15.75" customHeight="1">
      <c r="A7" s="120"/>
      <c r="B7" s="135"/>
      <c r="C7" s="120"/>
      <c r="D7" s="120"/>
      <c r="E7" s="120"/>
      <c r="F7" s="120"/>
      <c r="G7" s="135"/>
      <c r="H7" s="120"/>
      <c r="I7" s="120"/>
      <c r="J7" s="120"/>
      <c r="K7" s="120"/>
      <c r="L7" s="508"/>
      <c r="M7" s="508"/>
      <c r="N7" s="120"/>
      <c r="O7" s="519"/>
      <c r="P7" s="120"/>
      <c r="Q7" s="120"/>
      <c r="R7" s="120"/>
      <c r="S7" s="120"/>
      <c r="T7" s="120"/>
      <c r="U7" s="120"/>
      <c r="V7" s="120"/>
      <c r="W7" s="120"/>
      <c r="X7" s="120"/>
      <c r="Y7" s="120"/>
      <c r="Z7" s="120"/>
      <c r="AA7" s="120"/>
      <c r="AB7" s="120"/>
      <c r="AC7" s="120"/>
      <c r="AD7" s="123"/>
      <c r="AE7" s="123"/>
      <c r="AF7" s="123"/>
      <c r="AG7" s="120"/>
    </row>
    <row r="8" spans="1:34" ht="232.5" customHeight="1">
      <c r="A8" s="923" t="s">
        <v>1176</v>
      </c>
      <c r="B8" s="923"/>
      <c r="C8" s="923"/>
      <c r="D8" s="923"/>
      <c r="E8" s="923"/>
      <c r="F8" s="923"/>
      <c r="G8" s="923"/>
      <c r="H8" s="923"/>
      <c r="I8" s="923"/>
      <c r="J8" s="923"/>
      <c r="K8" s="923"/>
      <c r="L8" s="923"/>
      <c r="M8" s="923"/>
      <c r="N8" s="923"/>
      <c r="O8" s="923"/>
      <c r="P8" s="923"/>
      <c r="Q8" s="923"/>
      <c r="R8" s="923"/>
      <c r="S8" s="923"/>
      <c r="T8" s="923"/>
      <c r="U8" s="923"/>
      <c r="V8" s="923"/>
      <c r="W8" s="923"/>
      <c r="X8" s="923"/>
      <c r="Y8" s="923"/>
      <c r="Z8" s="923"/>
      <c r="AA8" s="923"/>
      <c r="AB8" s="923"/>
      <c r="AC8" s="923"/>
      <c r="AD8" s="923"/>
      <c r="AE8" s="923"/>
      <c r="AF8" s="923"/>
      <c r="AG8" s="120"/>
    </row>
    <row r="9" spans="1:34" ht="15.75" customHeight="1">
      <c r="A9" s="121"/>
      <c r="B9" s="126"/>
      <c r="C9" s="121"/>
      <c r="D9" s="121"/>
      <c r="E9" s="121"/>
      <c r="F9" s="121"/>
      <c r="G9" s="126"/>
      <c r="H9" s="121"/>
      <c r="I9" s="121"/>
      <c r="J9" s="121"/>
      <c r="K9" s="121"/>
      <c r="L9" s="510"/>
      <c r="M9" s="510"/>
      <c r="N9" s="121"/>
      <c r="O9" s="520"/>
      <c r="P9" s="121"/>
      <c r="Q9" s="121"/>
      <c r="R9" s="121"/>
      <c r="S9" s="121"/>
      <c r="T9" s="121"/>
      <c r="U9" s="121"/>
      <c r="V9" s="121"/>
      <c r="W9" s="121"/>
      <c r="X9" s="121"/>
      <c r="Y9" s="121"/>
      <c r="Z9" s="121"/>
      <c r="AA9" s="121"/>
      <c r="AB9" s="121"/>
      <c r="AC9" s="121"/>
      <c r="AD9" s="121"/>
      <c r="AE9" s="121"/>
      <c r="AF9" s="121"/>
      <c r="AG9" s="120"/>
      <c r="AH9" s="121"/>
    </row>
    <row r="10" spans="1:34" ht="36" customHeight="1">
      <c r="A10" s="921" t="str">
        <f>Cover!A9</f>
        <v>ID803 - Vega</v>
      </c>
      <c r="B10" s="922"/>
      <c r="C10" s="922"/>
      <c r="D10" s="922"/>
      <c r="E10" s="922"/>
      <c r="F10" s="922"/>
      <c r="G10" s="922"/>
      <c r="H10" s="922"/>
      <c r="I10" s="922"/>
      <c r="J10" s="922"/>
      <c r="K10" s="922"/>
      <c r="L10" s="922"/>
      <c r="M10" s="922"/>
      <c r="N10" s="922"/>
      <c r="O10" s="922"/>
      <c r="P10" s="922"/>
      <c r="Q10" s="922"/>
      <c r="R10" s="922"/>
      <c r="S10" s="922"/>
      <c r="T10" s="922"/>
      <c r="U10" s="922"/>
      <c r="V10" s="922"/>
      <c r="W10" s="922"/>
      <c r="X10" s="922"/>
      <c r="Y10" s="922"/>
      <c r="Z10" s="922"/>
      <c r="AA10" s="922"/>
      <c r="AB10" s="922"/>
      <c r="AC10" s="922"/>
      <c r="AD10" s="922"/>
      <c r="AE10" s="922"/>
      <c r="AF10" s="922"/>
      <c r="AG10" s="120"/>
      <c r="AH10"/>
    </row>
    <row r="11" spans="1:34" ht="15.75">
      <c r="A11" s="135"/>
      <c r="B11" s="135"/>
      <c r="D11" s="924" t="s">
        <v>1076</v>
      </c>
      <c r="E11" s="925"/>
      <c r="F11" s="925"/>
      <c r="G11" s="926"/>
      <c r="H11" s="135"/>
      <c r="I11" s="135"/>
      <c r="J11" s="487"/>
      <c r="K11" s="487"/>
      <c r="L11" s="135"/>
      <c r="M11" s="135"/>
      <c r="N11" s="135"/>
      <c r="O11" s="521"/>
      <c r="P11" s="135"/>
      <c r="Q11" s="135"/>
      <c r="R11" s="135"/>
      <c r="S11" s="135"/>
      <c r="T11" s="135"/>
      <c r="U11" s="135"/>
      <c r="V11" s="135"/>
      <c r="W11" s="135"/>
      <c r="X11" s="135"/>
      <c r="Y11" s="135"/>
      <c r="Z11" s="135"/>
      <c r="AA11" s="135"/>
      <c r="AB11" s="135"/>
      <c r="AC11" s="135"/>
      <c r="AD11" s="135"/>
      <c r="AE11" s="135"/>
      <c r="AF11" s="135"/>
      <c r="AG11" s="120"/>
    </row>
    <row r="12" spans="1:34" ht="15.75">
      <c r="A12" s="135"/>
      <c r="B12" s="135"/>
      <c r="C12" s="135"/>
      <c r="D12" s="159"/>
      <c r="E12" s="261" t="s">
        <v>653</v>
      </c>
      <c r="F12" s="261"/>
      <c r="G12" s="135"/>
      <c r="H12" s="135"/>
      <c r="I12" s="135"/>
      <c r="J12" s="487"/>
      <c r="K12" s="487"/>
      <c r="L12" s="135"/>
      <c r="M12" s="135"/>
      <c r="N12" s="135"/>
      <c r="O12" s="521"/>
      <c r="P12" s="135"/>
      <c r="Q12" s="135"/>
      <c r="R12" s="135"/>
      <c r="S12" s="135"/>
      <c r="T12" s="135"/>
      <c r="U12" s="135"/>
      <c r="V12" s="135"/>
      <c r="W12" s="135"/>
      <c r="X12" s="135"/>
      <c r="Y12" s="135"/>
      <c r="Z12" s="135"/>
      <c r="AA12" s="135"/>
      <c r="AB12" s="135"/>
      <c r="AC12" s="135"/>
      <c r="AD12" s="135"/>
      <c r="AE12" s="135"/>
      <c r="AF12" s="135"/>
      <c r="AG12" s="120"/>
    </row>
    <row r="13" spans="1:34" ht="15.75">
      <c r="A13" s="135"/>
      <c r="B13" s="135"/>
      <c r="C13" s="135"/>
      <c r="D13" s="161"/>
      <c r="E13" s="262" t="s">
        <v>652</v>
      </c>
      <c r="F13" s="262"/>
      <c r="G13" s="135"/>
      <c r="H13" s="135"/>
      <c r="I13" s="126"/>
      <c r="J13" s="487"/>
      <c r="K13" s="487"/>
      <c r="L13" s="135"/>
      <c r="M13" s="135"/>
      <c r="N13" s="135"/>
      <c r="O13" s="521"/>
      <c r="P13" s="135"/>
      <c r="Q13" s="135"/>
      <c r="R13" s="135"/>
      <c r="S13" s="135"/>
      <c r="T13" s="135"/>
      <c r="U13" s="135"/>
      <c r="V13" s="135"/>
      <c r="W13" s="135"/>
      <c r="X13" s="135"/>
      <c r="Y13" s="135"/>
      <c r="Z13" s="440" t="s">
        <v>389</v>
      </c>
      <c r="AA13" s="440">
        <v>0.6</v>
      </c>
      <c r="AB13" s="135"/>
      <c r="AC13" s="135"/>
      <c r="AD13" s="135"/>
      <c r="AE13" s="135"/>
      <c r="AF13" s="135"/>
      <c r="AG13" s="120"/>
    </row>
    <row r="14" spans="1:34">
      <c r="A14" s="135"/>
      <c r="B14" s="135"/>
      <c r="C14" s="135"/>
      <c r="D14" s="135"/>
      <c r="E14" s="135"/>
      <c r="F14" s="135"/>
      <c r="G14" s="135"/>
      <c r="H14" s="135"/>
      <c r="I14" s="135"/>
      <c r="J14" s="131" t="s">
        <v>390</v>
      </c>
      <c r="K14" s="140">
        <f>SUM(E22:E162)</f>
        <v>6.3327874313904085</v>
      </c>
      <c r="L14" s="135"/>
      <c r="M14" s="135"/>
      <c r="N14" s="135"/>
      <c r="O14" s="521"/>
      <c r="P14" s="135"/>
      <c r="Q14" s="135"/>
      <c r="R14" s="135"/>
      <c r="S14" s="135"/>
      <c r="T14" s="135"/>
      <c r="U14" s="135"/>
      <c r="V14" s="135"/>
      <c r="W14" s="135"/>
      <c r="X14" s="135"/>
      <c r="Y14" s="135"/>
      <c r="Z14" s="441"/>
      <c r="AA14" s="441"/>
      <c r="AB14" s="135"/>
      <c r="AC14" s="135"/>
      <c r="AD14" s="135"/>
      <c r="AE14" s="135"/>
      <c r="AF14" s="135"/>
      <c r="AG14" s="120"/>
    </row>
    <row r="15" spans="1:34">
      <c r="A15" s="135"/>
      <c r="B15" s="135"/>
      <c r="C15" s="135"/>
      <c r="D15" s="135"/>
      <c r="E15" s="135"/>
      <c r="F15" s="135"/>
      <c r="G15" s="135"/>
      <c r="H15" s="135"/>
      <c r="I15" s="135"/>
      <c r="J15" s="131" t="s">
        <v>391</v>
      </c>
      <c r="K15" s="140">
        <f>SUM(V22:V162)</f>
        <v>0.10455335678739651</v>
      </c>
      <c r="L15" s="135"/>
      <c r="M15" s="135"/>
      <c r="N15" s="135"/>
      <c r="O15" s="521"/>
      <c r="P15" s="135"/>
      <c r="Q15" s="135"/>
      <c r="R15" s="135"/>
      <c r="S15" s="135"/>
      <c r="T15" s="135"/>
      <c r="U15" s="135"/>
      <c r="V15" s="135"/>
      <c r="W15" s="135"/>
      <c r="X15" s="135"/>
      <c r="Y15" s="135"/>
      <c r="Z15" s="135" t="s">
        <v>392</v>
      </c>
      <c r="AA15" s="135">
        <v>0.6</v>
      </c>
      <c r="AB15" s="135"/>
      <c r="AC15" s="135"/>
      <c r="AD15" s="135"/>
      <c r="AE15" s="135"/>
      <c r="AF15" s="135"/>
      <c r="AG15" s="120"/>
    </row>
    <row r="16" spans="1:34">
      <c r="A16" s="135"/>
      <c r="B16" s="135"/>
      <c r="C16" s="135"/>
      <c r="D16" s="135"/>
      <c r="E16" s="135"/>
      <c r="F16" s="135"/>
      <c r="G16" s="135"/>
      <c r="H16" s="135"/>
      <c r="I16" s="135"/>
      <c r="J16" s="131" t="s">
        <v>393</v>
      </c>
      <c r="K16" s="140">
        <f>SUM(AB22:AB162)</f>
        <v>0.74109836054277189</v>
      </c>
      <c r="L16" s="135"/>
      <c r="M16" s="135"/>
      <c r="N16" s="135"/>
      <c r="O16" s="521"/>
      <c r="P16" s="135"/>
      <c r="Q16" s="135"/>
      <c r="R16" s="135"/>
      <c r="S16" s="135"/>
      <c r="T16" s="135"/>
      <c r="U16" s="135"/>
      <c r="V16" s="135"/>
      <c r="W16" s="135"/>
      <c r="X16" s="135"/>
      <c r="Y16" s="135"/>
      <c r="Z16" s="135" t="s">
        <v>394</v>
      </c>
      <c r="AA16" s="135">
        <v>0.91</v>
      </c>
      <c r="AB16" s="135"/>
      <c r="AC16" s="135"/>
      <c r="AD16" s="135"/>
      <c r="AE16" s="135"/>
      <c r="AF16" s="135"/>
      <c r="AG16" s="120"/>
    </row>
    <row r="17" spans="1:33" ht="15.75">
      <c r="A17" s="135"/>
      <c r="B17" s="135"/>
      <c r="C17" s="135"/>
      <c r="D17" s="135"/>
      <c r="E17" s="135"/>
      <c r="F17" s="135"/>
      <c r="G17" s="135"/>
      <c r="H17" s="135"/>
      <c r="I17" s="528" t="s">
        <v>1333</v>
      </c>
      <c r="J17" s="487"/>
      <c r="K17" s="487"/>
      <c r="L17" s="135"/>
      <c r="M17" s="135"/>
      <c r="N17" s="135"/>
      <c r="O17" s="521"/>
      <c r="P17" s="135"/>
      <c r="Q17" s="135"/>
      <c r="R17" s="135"/>
      <c r="S17" s="135"/>
      <c r="T17" s="135"/>
      <c r="U17" s="135"/>
      <c r="V17" s="135"/>
      <c r="W17" s="135"/>
      <c r="X17" s="135"/>
      <c r="Y17" s="135"/>
      <c r="Z17" s="135" t="s">
        <v>395</v>
      </c>
      <c r="AA17" s="135">
        <v>0.6</v>
      </c>
      <c r="AB17" s="135"/>
      <c r="AC17" s="135"/>
      <c r="AD17" s="135"/>
      <c r="AE17" s="135"/>
      <c r="AF17" s="135"/>
      <c r="AG17" s="120"/>
    </row>
    <row r="18" spans="1:33" ht="15.75">
      <c r="A18" s="135"/>
      <c r="B18" s="135"/>
      <c r="C18" s="135"/>
      <c r="D18" s="135"/>
      <c r="E18" s="135"/>
      <c r="F18" s="135"/>
      <c r="G18" s="135"/>
      <c r="H18" s="135"/>
      <c r="I18" s="135"/>
      <c r="J18" s="487"/>
      <c r="K18" s="487"/>
      <c r="L18" s="135"/>
      <c r="M18" s="135"/>
      <c r="N18" s="135"/>
      <c r="O18" s="901" t="s">
        <v>140</v>
      </c>
      <c r="P18" s="902"/>
      <c r="Q18" s="902"/>
      <c r="R18" s="902"/>
      <c r="S18" s="902"/>
      <c r="T18" s="902"/>
      <c r="U18" s="902"/>
      <c r="V18" s="902"/>
      <c r="W18" s="902"/>
      <c r="X18" s="902"/>
      <c r="Y18" s="902"/>
      <c r="Z18" s="902"/>
      <c r="AA18" s="902"/>
      <c r="AB18" s="903"/>
      <c r="AC18" s="135"/>
      <c r="AD18" s="135"/>
      <c r="AE18" s="135"/>
      <c r="AF18" s="135"/>
      <c r="AG18" s="120"/>
    </row>
    <row r="19" spans="1:33" ht="16.5" thickBot="1">
      <c r="A19" s="135"/>
      <c r="B19" s="126"/>
      <c r="C19" s="126"/>
      <c r="D19" s="126"/>
      <c r="E19" s="126"/>
      <c r="F19" s="126"/>
      <c r="G19" s="126" t="s">
        <v>396</v>
      </c>
      <c r="H19" s="126" t="s">
        <v>397</v>
      </c>
      <c r="I19" s="126" t="s">
        <v>398</v>
      </c>
      <c r="J19" s="163" t="s">
        <v>398</v>
      </c>
      <c r="K19" s="163"/>
      <c r="L19" s="126"/>
      <c r="M19" s="126"/>
      <c r="N19" s="126"/>
      <c r="O19" s="904" t="s">
        <v>142</v>
      </c>
      <c r="P19" s="905"/>
      <c r="Q19" s="905"/>
      <c r="R19" s="905"/>
      <c r="S19" s="905"/>
      <c r="T19" s="905"/>
      <c r="U19" s="905"/>
      <c r="V19" s="906"/>
      <c r="W19" s="489"/>
      <c r="X19" s="904" t="s">
        <v>399</v>
      </c>
      <c r="Y19" s="905"/>
      <c r="Z19" s="905"/>
      <c r="AA19" s="905"/>
      <c r="AB19" s="906"/>
      <c r="AC19" s="126"/>
      <c r="AD19" s="126"/>
      <c r="AE19" s="135"/>
      <c r="AF19" s="135"/>
      <c r="AG19" s="120"/>
    </row>
    <row r="20" spans="1:33" ht="48" thickBot="1">
      <c r="A20" s="136"/>
      <c r="B20" s="498" t="s">
        <v>521</v>
      </c>
      <c r="C20" s="486" t="s">
        <v>400</v>
      </c>
      <c r="D20" s="486" t="s">
        <v>514</v>
      </c>
      <c r="E20" s="486" t="s">
        <v>522</v>
      </c>
      <c r="F20" s="486" t="s">
        <v>401</v>
      </c>
      <c r="G20" s="486" t="s">
        <v>523</v>
      </c>
      <c r="H20" s="486" t="s">
        <v>532</v>
      </c>
      <c r="I20" s="486" t="s">
        <v>534</v>
      </c>
      <c r="J20" s="486" t="s">
        <v>1397</v>
      </c>
      <c r="K20" s="486" t="s">
        <v>576</v>
      </c>
      <c r="L20" s="499"/>
      <c r="M20" s="500"/>
      <c r="N20" s="501"/>
      <c r="O20" s="522" t="s">
        <v>536</v>
      </c>
      <c r="P20" s="486" t="s">
        <v>537</v>
      </c>
      <c r="Q20" s="486" t="s">
        <v>538</v>
      </c>
      <c r="R20" s="486" t="s">
        <v>539</v>
      </c>
      <c r="S20" s="486" t="s">
        <v>540</v>
      </c>
      <c r="T20" s="486" t="s">
        <v>541</v>
      </c>
      <c r="U20" s="486" t="s">
        <v>542</v>
      </c>
      <c r="V20" s="502" t="s">
        <v>543</v>
      </c>
      <c r="W20" s="490"/>
      <c r="X20" s="498" t="s">
        <v>544</v>
      </c>
      <c r="Y20" s="486" t="s">
        <v>540</v>
      </c>
      <c r="Z20" s="486" t="s">
        <v>541</v>
      </c>
      <c r="AA20" s="486" t="s">
        <v>545</v>
      </c>
      <c r="AB20" s="502" t="s">
        <v>546</v>
      </c>
      <c r="AC20" s="484"/>
      <c r="AD20" s="506" t="s">
        <v>600</v>
      </c>
      <c r="AE20" s="135"/>
      <c r="AF20" s="135"/>
      <c r="AG20" s="120"/>
    </row>
    <row r="21" spans="1:33" ht="156" thickBot="1">
      <c r="A21" s="136"/>
      <c r="B21" s="511" t="s">
        <v>402</v>
      </c>
      <c r="C21" s="512" t="s">
        <v>403</v>
      </c>
      <c r="D21" s="512" t="s">
        <v>386</v>
      </c>
      <c r="E21" s="512" t="s">
        <v>1168</v>
      </c>
      <c r="F21" s="512"/>
      <c r="G21" s="512" t="s">
        <v>404</v>
      </c>
      <c r="H21" s="512" t="s">
        <v>405</v>
      </c>
      <c r="I21" s="512" t="s">
        <v>533</v>
      </c>
      <c r="J21" s="512" t="s">
        <v>406</v>
      </c>
      <c r="K21" s="480" t="s">
        <v>1175</v>
      </c>
      <c r="L21" s="512" t="s">
        <v>574</v>
      </c>
      <c r="M21" s="513" t="s">
        <v>575</v>
      </c>
      <c r="N21" s="514"/>
      <c r="O21" s="523" t="s">
        <v>5</v>
      </c>
      <c r="P21" s="512" t="s">
        <v>0</v>
      </c>
      <c r="Q21" s="512" t="s">
        <v>630</v>
      </c>
      <c r="R21" s="512" t="s">
        <v>643</v>
      </c>
      <c r="S21" s="512" t="s">
        <v>407</v>
      </c>
      <c r="T21" s="512" t="s">
        <v>408</v>
      </c>
      <c r="U21" s="512" t="s">
        <v>152</v>
      </c>
      <c r="V21" s="513" t="s">
        <v>631</v>
      </c>
      <c r="W21" s="514"/>
      <c r="X21" s="511" t="s">
        <v>409</v>
      </c>
      <c r="Y21" s="512" t="s">
        <v>410</v>
      </c>
      <c r="Z21" s="512" t="s">
        <v>411</v>
      </c>
      <c r="AA21" s="512" t="s">
        <v>3</v>
      </c>
      <c r="AB21" s="513" t="s">
        <v>632</v>
      </c>
      <c r="AC21" s="485"/>
      <c r="AD21" s="164"/>
      <c r="AE21" s="135"/>
      <c r="AF21" s="135"/>
      <c r="AG21" s="120"/>
    </row>
    <row r="22" spans="1:33" ht="236.25">
      <c r="A22" s="136"/>
      <c r="B22" s="504" t="s">
        <v>1291</v>
      </c>
      <c r="C22" s="531"/>
      <c r="D22" s="907" t="s">
        <v>862</v>
      </c>
      <c r="E22" s="910">
        <f>'Core Block FIT rate'!L31</f>
        <v>5.0898280137401115E-2</v>
      </c>
      <c r="F22" s="532">
        <f>E22/7</f>
        <v>7.2711828767715878E-3</v>
      </c>
      <c r="G22" s="533" t="s">
        <v>1216</v>
      </c>
      <c r="H22" s="532"/>
      <c r="I22" s="533" t="s">
        <v>1227</v>
      </c>
      <c r="J22" s="531" t="s">
        <v>1402</v>
      </c>
      <c r="K22" s="531" t="s">
        <v>884</v>
      </c>
      <c r="L22" s="531"/>
      <c r="M22" s="534"/>
      <c r="N22" s="535"/>
      <c r="O22" s="536">
        <v>1</v>
      </c>
      <c r="P22" s="537" t="s">
        <v>1035</v>
      </c>
      <c r="Q22" s="538">
        <f t="shared" ref="Q22:Q51" si="0">F22*O22</f>
        <v>7.2711828767715878E-3</v>
      </c>
      <c r="R22" s="537">
        <v>0</v>
      </c>
      <c r="S22" s="537" t="s">
        <v>1247</v>
      </c>
      <c r="T22" s="538"/>
      <c r="U22" s="537">
        <v>0.99</v>
      </c>
      <c r="V22" s="539">
        <f t="shared" ref="V22:V47" si="1">IF(P22="N",0,Q22*(1-R22)*(1-U22))</f>
        <v>7.2711828767715942E-5</v>
      </c>
      <c r="W22" s="540"/>
      <c r="X22" s="541" t="s">
        <v>1035</v>
      </c>
      <c r="Y22" s="538" t="str">
        <f>S22</f>
        <v>SM01 SM15 SM16 SM17</v>
      </c>
      <c r="Z22" s="538"/>
      <c r="AA22" s="537">
        <v>1</v>
      </c>
      <c r="AB22" s="542">
        <f>IF(X22="N",0,(Q22*(1-R22)-V22)*(1-AA22))</f>
        <v>0</v>
      </c>
      <c r="AC22" s="543"/>
      <c r="AD22" s="164" t="s">
        <v>1226</v>
      </c>
      <c r="AE22" s="135"/>
      <c r="AF22" s="135"/>
      <c r="AG22" s="120"/>
    </row>
    <row r="23" spans="1:33" ht="189">
      <c r="A23" s="136"/>
      <c r="B23" s="505" t="s">
        <v>412</v>
      </c>
      <c r="C23" s="544"/>
      <c r="D23" s="908"/>
      <c r="E23" s="911"/>
      <c r="F23" s="544">
        <f>F22</f>
        <v>7.2711828767715878E-3</v>
      </c>
      <c r="G23" s="545" t="s">
        <v>1217</v>
      </c>
      <c r="H23" s="546"/>
      <c r="I23" s="547" t="s">
        <v>1228</v>
      </c>
      <c r="J23" s="544" t="s">
        <v>1402</v>
      </c>
      <c r="K23" s="544" t="s">
        <v>884</v>
      </c>
      <c r="L23" s="544"/>
      <c r="M23" s="548"/>
      <c r="N23" s="549"/>
      <c r="O23" s="550">
        <v>1</v>
      </c>
      <c r="P23" s="551" t="s">
        <v>1035</v>
      </c>
      <c r="Q23" s="506">
        <f t="shared" si="0"/>
        <v>7.2711828767715878E-3</v>
      </c>
      <c r="R23" s="551">
        <v>0</v>
      </c>
      <c r="S23" s="551" t="s">
        <v>1247</v>
      </c>
      <c r="T23" s="506"/>
      <c r="U23" s="551">
        <v>0.99</v>
      </c>
      <c r="V23" s="552">
        <f t="shared" si="1"/>
        <v>7.2711828767715942E-5</v>
      </c>
      <c r="W23" s="553"/>
      <c r="X23" s="550" t="s">
        <v>1035</v>
      </c>
      <c r="Y23" s="554" t="str">
        <f t="shared" ref="Y23:Y78" si="2">S23</f>
        <v>SM01 SM15 SM16 SM17</v>
      </c>
      <c r="Z23" s="506"/>
      <c r="AA23" s="551">
        <v>1</v>
      </c>
      <c r="AB23" s="555">
        <f t="shared" ref="AB23:AB84" si="3">IF(X23="N",0,(Q23*(1-R23)-V23)*(1-AA23))</f>
        <v>0</v>
      </c>
      <c r="AC23" s="543"/>
      <c r="AD23" s="164" t="s">
        <v>1226</v>
      </c>
      <c r="AE23" s="135"/>
      <c r="AF23" s="135"/>
      <c r="AG23" s="135"/>
    </row>
    <row r="24" spans="1:33" ht="236.25">
      <c r="A24" s="136"/>
      <c r="B24" s="505" t="s">
        <v>413</v>
      </c>
      <c r="C24" s="544"/>
      <c r="D24" s="908"/>
      <c r="E24" s="911"/>
      <c r="F24" s="544">
        <f t="shared" ref="F24:F27" si="4">F23</f>
        <v>7.2711828767715878E-3</v>
      </c>
      <c r="G24" s="545" t="s">
        <v>1338</v>
      </c>
      <c r="H24" s="546"/>
      <c r="I24" s="547" t="s">
        <v>1229</v>
      </c>
      <c r="J24" s="544" t="s">
        <v>1402</v>
      </c>
      <c r="K24" s="544" t="s">
        <v>884</v>
      </c>
      <c r="L24" s="544"/>
      <c r="M24" s="548"/>
      <c r="N24" s="549"/>
      <c r="O24" s="550">
        <v>1</v>
      </c>
      <c r="P24" s="551" t="s">
        <v>1035</v>
      </c>
      <c r="Q24" s="506">
        <f t="shared" si="0"/>
        <v>7.2711828767715878E-3</v>
      </c>
      <c r="R24" s="551">
        <v>0</v>
      </c>
      <c r="S24" s="551" t="s">
        <v>1248</v>
      </c>
      <c r="T24" s="506"/>
      <c r="U24" s="551">
        <v>0.99</v>
      </c>
      <c r="V24" s="552">
        <f t="shared" si="1"/>
        <v>7.2711828767715942E-5</v>
      </c>
      <c r="W24" s="553"/>
      <c r="X24" s="550" t="s">
        <v>1035</v>
      </c>
      <c r="Y24" s="554" t="str">
        <f t="shared" si="2"/>
        <v>SM01 SM11 SM15 SM16</v>
      </c>
      <c r="Z24" s="506"/>
      <c r="AA24" s="551">
        <v>1</v>
      </c>
      <c r="AB24" s="555">
        <f t="shared" si="3"/>
        <v>0</v>
      </c>
      <c r="AC24" s="543"/>
      <c r="AD24" s="164" t="s">
        <v>1226</v>
      </c>
      <c r="AE24" s="135"/>
      <c r="AF24" s="135"/>
      <c r="AG24" s="135"/>
    </row>
    <row r="25" spans="1:33" ht="236.25">
      <c r="A25" s="136"/>
      <c r="B25" s="505" t="s">
        <v>414</v>
      </c>
      <c r="C25" s="544"/>
      <c r="D25" s="908"/>
      <c r="E25" s="911"/>
      <c r="F25" s="544">
        <f t="shared" si="4"/>
        <v>7.2711828767715878E-3</v>
      </c>
      <c r="G25" s="545" t="s">
        <v>1219</v>
      </c>
      <c r="H25" s="546"/>
      <c r="I25" s="547" t="s">
        <v>1229</v>
      </c>
      <c r="J25" s="544" t="s">
        <v>1402</v>
      </c>
      <c r="K25" s="544" t="s">
        <v>884</v>
      </c>
      <c r="L25" s="544"/>
      <c r="M25" s="548"/>
      <c r="N25" s="549"/>
      <c r="O25" s="550">
        <v>1</v>
      </c>
      <c r="P25" s="551" t="s">
        <v>1035</v>
      </c>
      <c r="Q25" s="506">
        <f t="shared" si="0"/>
        <v>7.2711828767715878E-3</v>
      </c>
      <c r="R25" s="551">
        <v>0</v>
      </c>
      <c r="S25" s="551" t="s">
        <v>1248</v>
      </c>
      <c r="T25" s="506"/>
      <c r="U25" s="551">
        <v>0.99</v>
      </c>
      <c r="V25" s="552">
        <f t="shared" si="1"/>
        <v>7.2711828767715942E-5</v>
      </c>
      <c r="W25" s="553"/>
      <c r="X25" s="550" t="s">
        <v>1035</v>
      </c>
      <c r="Y25" s="554" t="str">
        <f t="shared" si="2"/>
        <v>SM01 SM11 SM15 SM16</v>
      </c>
      <c r="Z25" s="506"/>
      <c r="AA25" s="551">
        <v>1</v>
      </c>
      <c r="AB25" s="555">
        <f t="shared" si="3"/>
        <v>0</v>
      </c>
      <c r="AC25" s="543"/>
      <c r="AD25" s="164" t="s">
        <v>1226</v>
      </c>
      <c r="AE25" s="135"/>
      <c r="AF25" s="135"/>
      <c r="AG25" s="135"/>
    </row>
    <row r="26" spans="1:33" ht="15.75">
      <c r="A26" s="136"/>
      <c r="B26" s="505" t="s">
        <v>415</v>
      </c>
      <c r="C26" s="544"/>
      <c r="D26" s="908"/>
      <c r="E26" s="911"/>
      <c r="F26" s="544">
        <f t="shared" si="4"/>
        <v>7.2711828767715878E-3</v>
      </c>
      <c r="G26" s="545" t="s">
        <v>1220</v>
      </c>
      <c r="H26" s="546"/>
      <c r="I26" s="547" t="s">
        <v>1242</v>
      </c>
      <c r="J26" s="544" t="s">
        <v>1242</v>
      </c>
      <c r="K26" s="544" t="s">
        <v>1037</v>
      </c>
      <c r="L26" s="544"/>
      <c r="M26" s="548"/>
      <c r="N26" s="549"/>
      <c r="O26" s="550">
        <v>1</v>
      </c>
      <c r="P26" s="551" t="s">
        <v>78</v>
      </c>
      <c r="Q26" s="506">
        <f t="shared" si="0"/>
        <v>7.2711828767715878E-3</v>
      </c>
      <c r="R26" s="551">
        <f t="shared" ref="R26:R68" si="5">IF(P26="N",100%,0%)</f>
        <v>1</v>
      </c>
      <c r="S26" s="551"/>
      <c r="T26" s="506"/>
      <c r="U26" s="551"/>
      <c r="V26" s="552"/>
      <c r="W26" s="553"/>
      <c r="X26" s="550" t="s">
        <v>78</v>
      </c>
      <c r="Y26" s="554"/>
      <c r="Z26" s="506"/>
      <c r="AA26" s="551"/>
      <c r="AB26" s="555"/>
      <c r="AC26" s="543"/>
      <c r="AD26" s="164"/>
      <c r="AE26" s="135"/>
      <c r="AF26" s="135"/>
      <c r="AG26" s="135"/>
    </row>
    <row r="27" spans="1:33" ht="15.75">
      <c r="A27" s="136"/>
      <c r="B27" s="505" t="s">
        <v>416</v>
      </c>
      <c r="C27" s="544"/>
      <c r="D27" s="908"/>
      <c r="E27" s="911"/>
      <c r="F27" s="544">
        <f t="shared" si="4"/>
        <v>7.2711828767715878E-3</v>
      </c>
      <c r="G27" s="545" t="s">
        <v>1221</v>
      </c>
      <c r="H27" s="546"/>
      <c r="I27" s="545" t="s">
        <v>1242</v>
      </c>
      <c r="J27" s="544" t="s">
        <v>1242</v>
      </c>
      <c r="K27" s="544" t="s">
        <v>1037</v>
      </c>
      <c r="L27" s="544"/>
      <c r="M27" s="548"/>
      <c r="N27" s="556"/>
      <c r="O27" s="557">
        <v>1</v>
      </c>
      <c r="P27" s="551" t="s">
        <v>78</v>
      </c>
      <c r="Q27" s="544">
        <f t="shared" si="0"/>
        <v>7.2711828767715878E-3</v>
      </c>
      <c r="R27" s="554">
        <f t="shared" si="5"/>
        <v>1</v>
      </c>
      <c r="S27" s="551"/>
      <c r="T27" s="506"/>
      <c r="U27" s="551"/>
      <c r="V27" s="558"/>
      <c r="W27" s="553"/>
      <c r="X27" s="550" t="s">
        <v>78</v>
      </c>
      <c r="Y27" s="554"/>
      <c r="Z27" s="506"/>
      <c r="AA27" s="551"/>
      <c r="AB27" s="555"/>
      <c r="AC27" s="543"/>
      <c r="AD27" s="164"/>
      <c r="AE27" s="135"/>
      <c r="AF27" s="135"/>
      <c r="AG27" s="135"/>
    </row>
    <row r="28" spans="1:33" ht="16.5" thickBot="1">
      <c r="A28" s="136"/>
      <c r="B28" s="515" t="s">
        <v>417</v>
      </c>
      <c r="C28" s="559"/>
      <c r="D28" s="909"/>
      <c r="E28" s="912"/>
      <c r="F28" s="559">
        <f>F27</f>
        <v>7.2711828767715878E-3</v>
      </c>
      <c r="G28" s="561" t="s">
        <v>1222</v>
      </c>
      <c r="H28" s="562"/>
      <c r="I28" s="563" t="s">
        <v>1242</v>
      </c>
      <c r="J28" s="559" t="s">
        <v>1242</v>
      </c>
      <c r="K28" s="559" t="s">
        <v>1037</v>
      </c>
      <c r="L28" s="559"/>
      <c r="M28" s="564"/>
      <c r="N28" s="565"/>
      <c r="O28" s="566">
        <v>1</v>
      </c>
      <c r="P28" s="567" t="s">
        <v>78</v>
      </c>
      <c r="Q28" s="568">
        <f t="shared" si="0"/>
        <v>7.2711828767715878E-3</v>
      </c>
      <c r="R28" s="567">
        <f t="shared" ref="R28" si="6">IF(P28="N",100%,0%)</f>
        <v>1</v>
      </c>
      <c r="S28" s="569"/>
      <c r="T28" s="568"/>
      <c r="U28" s="567"/>
      <c r="V28" s="570"/>
      <c r="W28" s="571"/>
      <c r="X28" s="566" t="s">
        <v>78</v>
      </c>
      <c r="Y28" s="572"/>
      <c r="Z28" s="568"/>
      <c r="AA28" s="567"/>
      <c r="AB28" s="573"/>
      <c r="AC28" s="543"/>
      <c r="AD28" s="164"/>
      <c r="AE28" s="135"/>
      <c r="AF28" s="135"/>
      <c r="AG28" s="135"/>
    </row>
    <row r="29" spans="1:33" ht="220.5">
      <c r="A29" s="136"/>
      <c r="B29" s="504" t="s">
        <v>1292</v>
      </c>
      <c r="C29" s="531"/>
      <c r="D29" s="907" t="s">
        <v>863</v>
      </c>
      <c r="E29" s="910">
        <f>'Core Block FIT rate'!L32</f>
        <v>8.3990787342975826E-2</v>
      </c>
      <c r="F29" s="531">
        <f>E29/10</f>
        <v>8.3990787342975819E-3</v>
      </c>
      <c r="G29" s="533" t="s">
        <v>1230</v>
      </c>
      <c r="H29" s="574"/>
      <c r="I29" s="533" t="s">
        <v>1241</v>
      </c>
      <c r="J29" s="544" t="s">
        <v>1402</v>
      </c>
      <c r="K29" s="544" t="s">
        <v>884</v>
      </c>
      <c r="L29" s="532"/>
      <c r="M29" s="575"/>
      <c r="N29" s="576"/>
      <c r="O29" s="536">
        <v>1</v>
      </c>
      <c r="P29" s="537" t="s">
        <v>1035</v>
      </c>
      <c r="Q29" s="538">
        <f t="shared" si="0"/>
        <v>8.3990787342975819E-3</v>
      </c>
      <c r="R29" s="537">
        <f t="shared" si="5"/>
        <v>0</v>
      </c>
      <c r="S29" s="577" t="s">
        <v>1249</v>
      </c>
      <c r="T29" s="577"/>
      <c r="U29" s="537">
        <v>0.99</v>
      </c>
      <c r="V29" s="578">
        <f t="shared" si="1"/>
        <v>8.3990787342975892E-5</v>
      </c>
      <c r="W29" s="540"/>
      <c r="X29" s="541" t="s">
        <v>1035</v>
      </c>
      <c r="Y29" s="537" t="str">
        <f>S29</f>
        <v>SM11 SM15 SM16</v>
      </c>
      <c r="Z29" s="538"/>
      <c r="AA29" s="551">
        <v>1</v>
      </c>
      <c r="AB29" s="542">
        <f t="shared" si="3"/>
        <v>0</v>
      </c>
      <c r="AC29" s="543"/>
      <c r="AD29" s="164" t="s">
        <v>1240</v>
      </c>
      <c r="AE29" s="135"/>
      <c r="AF29" s="135"/>
      <c r="AG29" s="135"/>
    </row>
    <row r="30" spans="1:33" ht="220.5">
      <c r="A30" s="136"/>
      <c r="B30" s="505" t="s">
        <v>1293</v>
      </c>
      <c r="C30" s="544"/>
      <c r="D30" s="908"/>
      <c r="E30" s="911"/>
      <c r="F30" s="544">
        <f>F29</f>
        <v>8.3990787342975819E-3</v>
      </c>
      <c r="G30" s="547" t="s">
        <v>1231</v>
      </c>
      <c r="H30" s="546"/>
      <c r="I30" s="547" t="s">
        <v>1241</v>
      </c>
      <c r="J30" s="579" t="s">
        <v>1402</v>
      </c>
      <c r="K30" s="579" t="s">
        <v>884</v>
      </c>
      <c r="L30" s="544"/>
      <c r="M30" s="548"/>
      <c r="N30" s="549"/>
      <c r="O30" s="550">
        <v>1</v>
      </c>
      <c r="P30" s="551" t="s">
        <v>1035</v>
      </c>
      <c r="Q30" s="506">
        <v>4.2040523812291782E-3</v>
      </c>
      <c r="R30" s="551">
        <v>0</v>
      </c>
      <c r="S30" s="554" t="s">
        <v>1249</v>
      </c>
      <c r="T30" s="554"/>
      <c r="U30" s="551">
        <v>0.99</v>
      </c>
      <c r="V30" s="580">
        <v>4.2040523812291818E-5</v>
      </c>
      <c r="W30" s="553"/>
      <c r="X30" s="550" t="s">
        <v>1035</v>
      </c>
      <c r="Y30" s="554" t="str">
        <f t="shared" si="2"/>
        <v>SM11 SM15 SM16</v>
      </c>
      <c r="Z30" s="506"/>
      <c r="AA30" s="551">
        <v>1</v>
      </c>
      <c r="AB30" s="555">
        <v>0</v>
      </c>
      <c r="AC30" s="543"/>
      <c r="AD30" s="164" t="s">
        <v>1240</v>
      </c>
      <c r="AE30" s="135"/>
      <c r="AF30" s="135"/>
      <c r="AG30" s="135"/>
    </row>
    <row r="31" spans="1:33" ht="220.5">
      <c r="A31" s="136"/>
      <c r="B31" s="505" t="s">
        <v>1294</v>
      </c>
      <c r="C31" s="544"/>
      <c r="D31" s="908"/>
      <c r="E31" s="911"/>
      <c r="F31" s="544">
        <f t="shared" ref="F31:F38" si="7">F30</f>
        <v>8.3990787342975819E-3</v>
      </c>
      <c r="G31" s="547" t="s">
        <v>1232</v>
      </c>
      <c r="H31" s="546"/>
      <c r="I31" s="547" t="s">
        <v>1241</v>
      </c>
      <c r="J31" s="579" t="s">
        <v>1402</v>
      </c>
      <c r="K31" s="579" t="s">
        <v>884</v>
      </c>
      <c r="L31" s="544"/>
      <c r="M31" s="548"/>
      <c r="N31" s="549"/>
      <c r="O31" s="550">
        <v>1</v>
      </c>
      <c r="P31" s="551" t="s">
        <v>1035</v>
      </c>
      <c r="Q31" s="506">
        <v>4.2040523812291782E-3</v>
      </c>
      <c r="R31" s="551">
        <v>0</v>
      </c>
      <c r="S31" s="554" t="s">
        <v>1249</v>
      </c>
      <c r="T31" s="554"/>
      <c r="U31" s="551">
        <v>0.99</v>
      </c>
      <c r="V31" s="580">
        <v>4.2040523812291818E-5</v>
      </c>
      <c r="W31" s="553"/>
      <c r="X31" s="550" t="s">
        <v>1035</v>
      </c>
      <c r="Y31" s="554" t="str">
        <f t="shared" si="2"/>
        <v>SM11 SM15 SM16</v>
      </c>
      <c r="Z31" s="506"/>
      <c r="AA31" s="551">
        <v>1</v>
      </c>
      <c r="AB31" s="555">
        <v>0</v>
      </c>
      <c r="AC31" s="543"/>
      <c r="AD31" s="164" t="s">
        <v>1240</v>
      </c>
      <c r="AE31" s="135"/>
      <c r="AF31" s="135"/>
      <c r="AG31" s="135"/>
    </row>
    <row r="32" spans="1:33" ht="220.5">
      <c r="A32" s="136"/>
      <c r="B32" s="505" t="s">
        <v>418</v>
      </c>
      <c r="C32" s="544"/>
      <c r="D32" s="908"/>
      <c r="E32" s="911"/>
      <c r="F32" s="544">
        <f t="shared" si="7"/>
        <v>8.3990787342975819E-3</v>
      </c>
      <c r="G32" s="507" t="s">
        <v>1233</v>
      </c>
      <c r="H32" s="546"/>
      <c r="I32" s="547" t="s">
        <v>1241</v>
      </c>
      <c r="J32" s="579" t="s">
        <v>1402</v>
      </c>
      <c r="K32" s="579" t="s">
        <v>884</v>
      </c>
      <c r="L32" s="544"/>
      <c r="M32" s="548"/>
      <c r="N32" s="549"/>
      <c r="O32" s="550">
        <v>1</v>
      </c>
      <c r="P32" s="551" t="s">
        <v>1035</v>
      </c>
      <c r="Q32" s="506">
        <v>4.2040523812291782E-3</v>
      </c>
      <c r="R32" s="551">
        <v>0</v>
      </c>
      <c r="S32" s="554" t="s">
        <v>1249</v>
      </c>
      <c r="T32" s="554"/>
      <c r="U32" s="551">
        <v>0.99</v>
      </c>
      <c r="V32" s="580">
        <v>4.2040523812291818E-5</v>
      </c>
      <c r="W32" s="553"/>
      <c r="X32" s="550" t="s">
        <v>1035</v>
      </c>
      <c r="Y32" s="554" t="str">
        <f t="shared" si="2"/>
        <v>SM11 SM15 SM16</v>
      </c>
      <c r="Z32" s="506"/>
      <c r="AA32" s="551">
        <v>1</v>
      </c>
      <c r="AB32" s="555">
        <v>0</v>
      </c>
      <c r="AC32" s="543"/>
      <c r="AD32" s="164" t="s">
        <v>1240</v>
      </c>
      <c r="AE32" s="135"/>
      <c r="AF32" s="135"/>
      <c r="AG32" s="135"/>
    </row>
    <row r="33" spans="1:33" ht="15.75">
      <c r="A33" s="136"/>
      <c r="B33" s="505" t="s">
        <v>1295</v>
      </c>
      <c r="C33" s="544"/>
      <c r="D33" s="908"/>
      <c r="E33" s="911"/>
      <c r="F33" s="544">
        <f t="shared" si="7"/>
        <v>8.3990787342975819E-3</v>
      </c>
      <c r="G33" s="547" t="s">
        <v>1235</v>
      </c>
      <c r="H33" s="546"/>
      <c r="I33" s="547" t="s">
        <v>1242</v>
      </c>
      <c r="J33" s="544" t="s">
        <v>1242</v>
      </c>
      <c r="K33" s="544" t="s">
        <v>1037</v>
      </c>
      <c r="L33" s="581"/>
      <c r="M33" s="582"/>
      <c r="N33" s="583"/>
      <c r="O33" s="550">
        <v>1</v>
      </c>
      <c r="P33" s="551" t="s">
        <v>78</v>
      </c>
      <c r="Q33" s="506">
        <f t="shared" ref="Q33" si="8">F33*O33</f>
        <v>8.3990787342975819E-3</v>
      </c>
      <c r="R33" s="551">
        <f t="shared" ref="R33" si="9">IF(P33="N",100%,0%)</f>
        <v>1</v>
      </c>
      <c r="S33" s="551"/>
      <c r="T33" s="506"/>
      <c r="U33" s="551"/>
      <c r="V33" s="552"/>
      <c r="W33" s="553"/>
      <c r="X33" s="550" t="s">
        <v>78</v>
      </c>
      <c r="Y33" s="554"/>
      <c r="Z33" s="506"/>
      <c r="AA33" s="551"/>
      <c r="AB33" s="555"/>
      <c r="AC33" s="543"/>
      <c r="AD33" s="164"/>
      <c r="AE33" s="135"/>
      <c r="AF33" s="135"/>
      <c r="AG33" s="135"/>
    </row>
    <row r="34" spans="1:33" ht="15.75">
      <c r="A34" s="136"/>
      <c r="B34" s="505" t="s">
        <v>419</v>
      </c>
      <c r="C34" s="544"/>
      <c r="D34" s="908"/>
      <c r="E34" s="911"/>
      <c r="F34" s="544">
        <f t="shared" si="7"/>
        <v>8.3990787342975819E-3</v>
      </c>
      <c r="G34" s="547" t="s">
        <v>1234</v>
      </c>
      <c r="H34" s="546"/>
      <c r="I34" s="547" t="s">
        <v>1242</v>
      </c>
      <c r="J34" s="544" t="s">
        <v>1242</v>
      </c>
      <c r="K34" s="544" t="s">
        <v>1037</v>
      </c>
      <c r="L34" s="581"/>
      <c r="M34" s="582"/>
      <c r="N34" s="583"/>
      <c r="O34" s="550">
        <v>1</v>
      </c>
      <c r="P34" s="551" t="s">
        <v>78</v>
      </c>
      <c r="Q34" s="506">
        <f t="shared" ref="Q34" si="10">F34*O34</f>
        <v>8.3990787342975819E-3</v>
      </c>
      <c r="R34" s="551">
        <f t="shared" ref="R34" si="11">IF(P34="N",100%,0%)</f>
        <v>1</v>
      </c>
      <c r="S34" s="551"/>
      <c r="T34" s="506"/>
      <c r="U34" s="551"/>
      <c r="V34" s="552"/>
      <c r="W34" s="553"/>
      <c r="X34" s="550" t="s">
        <v>78</v>
      </c>
      <c r="Y34" s="554"/>
      <c r="Z34" s="506"/>
      <c r="AA34" s="551"/>
      <c r="AB34" s="555"/>
      <c r="AC34" s="543"/>
      <c r="AD34" s="164"/>
      <c r="AE34" s="135"/>
      <c r="AF34" s="135"/>
      <c r="AG34" s="135"/>
    </row>
    <row r="35" spans="1:33" ht="220.5">
      <c r="A35" s="136"/>
      <c r="B35" s="505" t="s">
        <v>1296</v>
      </c>
      <c r="C35" s="544"/>
      <c r="D35" s="908"/>
      <c r="E35" s="911"/>
      <c r="F35" s="544">
        <f t="shared" si="7"/>
        <v>8.3990787342975819E-3</v>
      </c>
      <c r="G35" s="547" t="s">
        <v>1237</v>
      </c>
      <c r="H35" s="546"/>
      <c r="I35" s="547" t="s">
        <v>1241</v>
      </c>
      <c r="J35" s="579" t="s">
        <v>1402</v>
      </c>
      <c r="K35" s="579" t="s">
        <v>884</v>
      </c>
      <c r="L35" s="544"/>
      <c r="M35" s="548"/>
      <c r="N35" s="549"/>
      <c r="O35" s="550">
        <v>1</v>
      </c>
      <c r="P35" s="551" t="s">
        <v>1035</v>
      </c>
      <c r="Q35" s="506">
        <v>4.2040523812291782E-3</v>
      </c>
      <c r="R35" s="551">
        <v>0</v>
      </c>
      <c r="S35" s="554" t="s">
        <v>1249</v>
      </c>
      <c r="T35" s="554"/>
      <c r="U35" s="551">
        <v>0.99</v>
      </c>
      <c r="V35" s="580">
        <v>4.2040523812291818E-5</v>
      </c>
      <c r="W35" s="553"/>
      <c r="X35" s="550" t="s">
        <v>1035</v>
      </c>
      <c r="Y35" s="554" t="str">
        <f t="shared" si="2"/>
        <v>SM11 SM15 SM16</v>
      </c>
      <c r="Z35" s="506"/>
      <c r="AA35" s="551">
        <v>1</v>
      </c>
      <c r="AB35" s="555">
        <v>0</v>
      </c>
      <c r="AC35" s="543"/>
      <c r="AD35" s="164" t="s">
        <v>1240</v>
      </c>
      <c r="AE35" s="135"/>
      <c r="AF35" s="135"/>
      <c r="AG35" s="135"/>
    </row>
    <row r="36" spans="1:33" ht="220.5">
      <c r="A36" s="136"/>
      <c r="B36" s="505" t="s">
        <v>1297</v>
      </c>
      <c r="C36" s="544"/>
      <c r="D36" s="908"/>
      <c r="E36" s="911"/>
      <c r="F36" s="544">
        <f t="shared" si="7"/>
        <v>8.3990787342975819E-3</v>
      </c>
      <c r="G36" s="547" t="s">
        <v>1238</v>
      </c>
      <c r="H36" s="546"/>
      <c r="I36" s="547" t="s">
        <v>1241</v>
      </c>
      <c r="J36" s="579" t="s">
        <v>1402</v>
      </c>
      <c r="K36" s="579" t="s">
        <v>884</v>
      </c>
      <c r="L36" s="544"/>
      <c r="M36" s="548"/>
      <c r="N36" s="549"/>
      <c r="O36" s="550">
        <v>1</v>
      </c>
      <c r="P36" s="551" t="s">
        <v>1035</v>
      </c>
      <c r="Q36" s="506">
        <v>4.2040523812291782E-3</v>
      </c>
      <c r="R36" s="551">
        <v>0</v>
      </c>
      <c r="S36" s="554" t="s">
        <v>1249</v>
      </c>
      <c r="T36" s="554"/>
      <c r="U36" s="551">
        <v>0.99</v>
      </c>
      <c r="V36" s="580">
        <v>4.2040523812291818E-5</v>
      </c>
      <c r="W36" s="553"/>
      <c r="X36" s="550" t="s">
        <v>1035</v>
      </c>
      <c r="Y36" s="554" t="str">
        <f t="shared" si="2"/>
        <v>SM11 SM15 SM16</v>
      </c>
      <c r="Z36" s="506"/>
      <c r="AA36" s="551">
        <v>1</v>
      </c>
      <c r="AB36" s="555">
        <v>0</v>
      </c>
      <c r="AC36" s="543"/>
      <c r="AD36" s="164" t="s">
        <v>1240</v>
      </c>
      <c r="AE36" s="135"/>
      <c r="AF36" s="135"/>
      <c r="AG36" s="135"/>
    </row>
    <row r="37" spans="1:33" ht="15.75">
      <c r="A37" s="136"/>
      <c r="B37" s="505" t="s">
        <v>1298</v>
      </c>
      <c r="C37" s="544"/>
      <c r="D37" s="908"/>
      <c r="E37" s="911"/>
      <c r="F37" s="544">
        <f t="shared" si="7"/>
        <v>8.3990787342975819E-3</v>
      </c>
      <c r="G37" s="547" t="s">
        <v>1236</v>
      </c>
      <c r="H37" s="546"/>
      <c r="I37" s="547" t="s">
        <v>1242</v>
      </c>
      <c r="J37" s="544" t="s">
        <v>1242</v>
      </c>
      <c r="K37" s="544" t="s">
        <v>1037</v>
      </c>
      <c r="L37" s="581"/>
      <c r="M37" s="582"/>
      <c r="N37" s="583"/>
      <c r="O37" s="550">
        <v>1</v>
      </c>
      <c r="P37" s="551" t="s">
        <v>78</v>
      </c>
      <c r="Q37" s="506">
        <f t="shared" si="0"/>
        <v>8.3990787342975819E-3</v>
      </c>
      <c r="R37" s="551">
        <f t="shared" si="5"/>
        <v>1</v>
      </c>
      <c r="S37" s="551"/>
      <c r="T37" s="506"/>
      <c r="U37" s="551"/>
      <c r="V37" s="552"/>
      <c r="W37" s="553"/>
      <c r="X37" s="550" t="s">
        <v>78</v>
      </c>
      <c r="Y37" s="554"/>
      <c r="Z37" s="506"/>
      <c r="AA37" s="551"/>
      <c r="AB37" s="555"/>
      <c r="AC37" s="543"/>
      <c r="AD37" s="164"/>
      <c r="AE37" s="135"/>
      <c r="AF37" s="135"/>
      <c r="AG37" s="135"/>
    </row>
    <row r="38" spans="1:33" ht="16.5" thickBot="1">
      <c r="A38" s="136"/>
      <c r="B38" s="515" t="s">
        <v>420</v>
      </c>
      <c r="C38" s="559"/>
      <c r="D38" s="909"/>
      <c r="E38" s="912"/>
      <c r="F38" s="569">
        <f t="shared" si="7"/>
        <v>8.3990787342975819E-3</v>
      </c>
      <c r="G38" s="563" t="s">
        <v>1239</v>
      </c>
      <c r="H38" s="562"/>
      <c r="I38" s="563" t="s">
        <v>1242</v>
      </c>
      <c r="J38" s="559" t="s">
        <v>1242</v>
      </c>
      <c r="K38" s="559" t="s">
        <v>1037</v>
      </c>
      <c r="L38" s="559"/>
      <c r="M38" s="564"/>
      <c r="N38" s="565"/>
      <c r="O38" s="566">
        <v>1</v>
      </c>
      <c r="P38" s="567" t="s">
        <v>78</v>
      </c>
      <c r="Q38" s="568">
        <f t="shared" ref="Q38" si="12">F38*O38</f>
        <v>8.3990787342975819E-3</v>
      </c>
      <c r="R38" s="567">
        <f t="shared" si="5"/>
        <v>1</v>
      </c>
      <c r="S38" s="569"/>
      <c r="T38" s="568"/>
      <c r="U38" s="567"/>
      <c r="V38" s="570"/>
      <c r="W38" s="571"/>
      <c r="X38" s="566" t="s">
        <v>78</v>
      </c>
      <c r="Y38" s="572"/>
      <c r="Z38" s="568"/>
      <c r="AA38" s="567"/>
      <c r="AB38" s="573"/>
      <c r="AC38" s="543"/>
      <c r="AD38" s="164"/>
      <c r="AE38" s="135"/>
      <c r="AF38" s="135"/>
      <c r="AG38" s="135"/>
    </row>
    <row r="39" spans="1:33" ht="31.5">
      <c r="A39" s="136"/>
      <c r="B39" s="504" t="s">
        <v>421</v>
      </c>
      <c r="C39" s="531"/>
      <c r="D39" s="907" t="s">
        <v>864</v>
      </c>
      <c r="E39" s="910">
        <f>'Core Block FIT rate'!L33</f>
        <v>3.7565078690194521E-2</v>
      </c>
      <c r="F39" s="532">
        <f>E39/8</f>
        <v>4.6956348362743152E-3</v>
      </c>
      <c r="G39" s="533" t="s">
        <v>1243</v>
      </c>
      <c r="H39" s="532"/>
      <c r="I39" s="533" t="s">
        <v>1252</v>
      </c>
      <c r="J39" s="531" t="s">
        <v>1406</v>
      </c>
      <c r="K39" s="531" t="s">
        <v>884</v>
      </c>
      <c r="L39" s="584"/>
      <c r="M39" s="585"/>
      <c r="N39" s="586"/>
      <c r="O39" s="536">
        <v>1</v>
      </c>
      <c r="P39" s="537" t="s">
        <v>1035</v>
      </c>
      <c r="Q39" s="538">
        <f t="shared" si="0"/>
        <v>4.6956348362743152E-3</v>
      </c>
      <c r="R39" s="537">
        <f t="shared" si="5"/>
        <v>0</v>
      </c>
      <c r="S39" s="532" t="s">
        <v>1250</v>
      </c>
      <c r="T39" s="577"/>
      <c r="U39" s="537">
        <f t="shared" ref="U39:U40" si="13">IF(P39="N",0%,99%)</f>
        <v>0.99</v>
      </c>
      <c r="V39" s="539">
        <f t="shared" si="1"/>
        <v>4.6956348362743196E-5</v>
      </c>
      <c r="W39" s="540"/>
      <c r="X39" s="541" t="s">
        <v>1035</v>
      </c>
      <c r="Y39" s="538" t="str">
        <f>S39</f>
        <v>SM11 SM20</v>
      </c>
      <c r="Z39" s="538"/>
      <c r="AA39" s="537">
        <v>0.8</v>
      </c>
      <c r="AB39" s="542">
        <f t="shared" si="3"/>
        <v>9.2973569758231418E-4</v>
      </c>
      <c r="AC39" s="543"/>
      <c r="AD39" s="164"/>
      <c r="AE39" s="135"/>
      <c r="AF39" s="135"/>
      <c r="AG39" s="135"/>
    </row>
    <row r="40" spans="1:33" ht="63">
      <c r="A40" s="136"/>
      <c r="B40" s="505" t="s">
        <v>422</v>
      </c>
      <c r="C40" s="544"/>
      <c r="D40" s="908"/>
      <c r="E40" s="911"/>
      <c r="F40" s="544">
        <f>F39</f>
        <v>4.6956348362743152E-3</v>
      </c>
      <c r="G40" s="547" t="s">
        <v>1279</v>
      </c>
      <c r="H40" s="579"/>
      <c r="I40" s="547" t="s">
        <v>1253</v>
      </c>
      <c r="J40" s="544" t="s">
        <v>1406</v>
      </c>
      <c r="K40" s="544" t="s">
        <v>884</v>
      </c>
      <c r="L40" s="581"/>
      <c r="M40" s="582"/>
      <c r="N40" s="583"/>
      <c r="O40" s="550">
        <v>1</v>
      </c>
      <c r="P40" s="551" t="s">
        <v>1035</v>
      </c>
      <c r="Q40" s="506">
        <f t="shared" si="0"/>
        <v>4.6956348362743152E-3</v>
      </c>
      <c r="R40" s="551">
        <f t="shared" si="5"/>
        <v>0</v>
      </c>
      <c r="S40" s="579" t="s">
        <v>1251</v>
      </c>
      <c r="T40" s="554"/>
      <c r="U40" s="551">
        <f t="shared" si="13"/>
        <v>0.99</v>
      </c>
      <c r="V40" s="580">
        <f t="shared" si="1"/>
        <v>4.6956348362743196E-5</v>
      </c>
      <c r="W40" s="553"/>
      <c r="X40" s="550" t="s">
        <v>1035</v>
      </c>
      <c r="Y40" s="554" t="str">
        <f t="shared" si="2"/>
        <v>SM11 SM15</v>
      </c>
      <c r="Z40" s="506"/>
      <c r="AA40" s="551">
        <v>0.8</v>
      </c>
      <c r="AB40" s="555">
        <f t="shared" si="3"/>
        <v>9.2973569758231418E-4</v>
      </c>
      <c r="AC40" s="543"/>
      <c r="AD40" s="164"/>
      <c r="AE40" s="135"/>
      <c r="AF40" s="135"/>
      <c r="AG40" s="135"/>
    </row>
    <row r="41" spans="1:33" ht="31.5">
      <c r="A41" s="136"/>
      <c r="B41" s="505" t="s">
        <v>423</v>
      </c>
      <c r="C41" s="544"/>
      <c r="D41" s="908"/>
      <c r="E41" s="911"/>
      <c r="F41" s="544">
        <f t="shared" ref="F41:F46" si="14">F40</f>
        <v>4.6956348362743152E-3</v>
      </c>
      <c r="G41" s="547" t="s">
        <v>1220</v>
      </c>
      <c r="H41" s="579"/>
      <c r="I41" s="547" t="s">
        <v>1224</v>
      </c>
      <c r="J41" s="544" t="s">
        <v>1242</v>
      </c>
      <c r="K41" s="544" t="s">
        <v>1037</v>
      </c>
      <c r="L41" s="581"/>
      <c r="M41" s="582"/>
      <c r="N41" s="583"/>
      <c r="O41" s="550">
        <v>1</v>
      </c>
      <c r="P41" s="551" t="s">
        <v>78</v>
      </c>
      <c r="Q41" s="506">
        <f t="shared" si="0"/>
        <v>4.6956348362743152E-3</v>
      </c>
      <c r="R41" s="551">
        <f t="shared" si="5"/>
        <v>1</v>
      </c>
      <c r="S41" s="554"/>
      <c r="T41" s="554"/>
      <c r="U41" s="551"/>
      <c r="V41" s="552"/>
      <c r="W41" s="553"/>
      <c r="X41" s="550" t="s">
        <v>78</v>
      </c>
      <c r="Y41" s="554"/>
      <c r="Z41" s="506"/>
      <c r="AA41" s="551"/>
      <c r="AB41" s="555"/>
      <c r="AC41" s="543"/>
      <c r="AD41" s="164"/>
      <c r="AE41" s="135"/>
      <c r="AF41" s="135"/>
      <c r="AG41" s="135"/>
    </row>
    <row r="42" spans="1:33" ht="15.75">
      <c r="A42" s="136"/>
      <c r="B42" s="505" t="s">
        <v>1299</v>
      </c>
      <c r="C42" s="544"/>
      <c r="D42" s="908"/>
      <c r="E42" s="911"/>
      <c r="F42" s="544">
        <f t="shared" si="14"/>
        <v>4.6956348362743152E-3</v>
      </c>
      <c r="G42" s="547" t="s">
        <v>1244</v>
      </c>
      <c r="H42" s="546"/>
      <c r="I42" s="547" t="s">
        <v>1242</v>
      </c>
      <c r="J42" s="544" t="s">
        <v>1242</v>
      </c>
      <c r="K42" s="544" t="s">
        <v>1037</v>
      </c>
      <c r="L42" s="581"/>
      <c r="M42" s="582"/>
      <c r="N42" s="583"/>
      <c r="O42" s="550">
        <v>1</v>
      </c>
      <c r="P42" s="551" t="s">
        <v>78</v>
      </c>
      <c r="Q42" s="506">
        <f t="shared" si="0"/>
        <v>4.6956348362743152E-3</v>
      </c>
      <c r="R42" s="551">
        <f t="shared" si="5"/>
        <v>1</v>
      </c>
      <c r="S42" s="551"/>
      <c r="T42" s="506"/>
      <c r="U42" s="551"/>
      <c r="V42" s="552"/>
      <c r="W42" s="553"/>
      <c r="X42" s="550" t="s">
        <v>78</v>
      </c>
      <c r="Y42" s="554"/>
      <c r="Z42" s="506"/>
      <c r="AA42" s="551"/>
      <c r="AB42" s="555"/>
      <c r="AC42" s="543"/>
      <c r="AD42" s="164"/>
      <c r="AE42" s="135"/>
      <c r="AF42" s="135"/>
      <c r="AG42" s="135"/>
    </row>
    <row r="43" spans="1:33" ht="63">
      <c r="A43" s="136"/>
      <c r="B43" s="505" t="s">
        <v>424</v>
      </c>
      <c r="C43" s="544"/>
      <c r="D43" s="908"/>
      <c r="E43" s="911"/>
      <c r="F43" s="544">
        <f t="shared" si="14"/>
        <v>4.6956348362743152E-3</v>
      </c>
      <c r="G43" s="547" t="s">
        <v>1219</v>
      </c>
      <c r="H43" s="579"/>
      <c r="I43" s="547" t="s">
        <v>1253</v>
      </c>
      <c r="J43" s="544" t="s">
        <v>1406</v>
      </c>
      <c r="K43" s="544" t="s">
        <v>884</v>
      </c>
      <c r="L43" s="544"/>
      <c r="M43" s="548"/>
      <c r="N43" s="583"/>
      <c r="O43" s="550">
        <v>1</v>
      </c>
      <c r="P43" s="551" t="s">
        <v>1035</v>
      </c>
      <c r="Q43" s="506">
        <f t="shared" si="0"/>
        <v>4.6956348362743152E-3</v>
      </c>
      <c r="R43" s="551">
        <v>0</v>
      </c>
      <c r="S43" s="554" t="s">
        <v>1254</v>
      </c>
      <c r="T43" s="554"/>
      <c r="U43" s="551">
        <v>0.99</v>
      </c>
      <c r="V43" s="552">
        <f t="shared" si="1"/>
        <v>4.6956348362743196E-5</v>
      </c>
      <c r="W43" s="553"/>
      <c r="X43" s="550" t="s">
        <v>1035</v>
      </c>
      <c r="Y43" s="554" t="str">
        <f t="shared" si="2"/>
        <v>SM11 SM15 SM20</v>
      </c>
      <c r="Z43" s="506"/>
      <c r="AA43" s="551">
        <v>1</v>
      </c>
      <c r="AB43" s="555">
        <f t="shared" si="3"/>
        <v>0</v>
      </c>
      <c r="AC43" s="543"/>
      <c r="AD43" s="164" t="s">
        <v>1240</v>
      </c>
      <c r="AE43" s="135"/>
      <c r="AF43" s="135"/>
      <c r="AG43" s="135"/>
    </row>
    <row r="44" spans="1:33" ht="15.75">
      <c r="A44" s="136"/>
      <c r="B44" s="505" t="s">
        <v>425</v>
      </c>
      <c r="C44" s="544"/>
      <c r="D44" s="908"/>
      <c r="E44" s="911"/>
      <c r="F44" s="544">
        <f t="shared" si="14"/>
        <v>4.6956348362743152E-3</v>
      </c>
      <c r="G44" s="547" t="s">
        <v>1245</v>
      </c>
      <c r="H44" s="546"/>
      <c r="I44" s="547" t="s">
        <v>1242</v>
      </c>
      <c r="J44" s="544" t="s">
        <v>1242</v>
      </c>
      <c r="K44" s="544" t="s">
        <v>1037</v>
      </c>
      <c r="L44" s="581"/>
      <c r="M44" s="582"/>
      <c r="N44" s="583"/>
      <c r="O44" s="550">
        <v>1</v>
      </c>
      <c r="P44" s="551" t="s">
        <v>78</v>
      </c>
      <c r="Q44" s="506">
        <f t="shared" ref="Q44" si="15">F44*O44</f>
        <v>4.6956348362743152E-3</v>
      </c>
      <c r="R44" s="551">
        <f t="shared" ref="R44" si="16">IF(P44="N",100%,0%)</f>
        <v>1</v>
      </c>
      <c r="S44" s="551"/>
      <c r="T44" s="506"/>
      <c r="U44" s="551"/>
      <c r="V44" s="552"/>
      <c r="W44" s="553"/>
      <c r="X44" s="550" t="s">
        <v>78</v>
      </c>
      <c r="Y44" s="554"/>
      <c r="Z44" s="506"/>
      <c r="AA44" s="551"/>
      <c r="AB44" s="555"/>
      <c r="AC44" s="543"/>
      <c r="AD44" s="164"/>
      <c r="AE44" s="135"/>
      <c r="AF44" s="135"/>
      <c r="AG44" s="135"/>
    </row>
    <row r="45" spans="1:33" ht="31.5">
      <c r="A45" s="136"/>
      <c r="B45" s="505" t="s">
        <v>1300</v>
      </c>
      <c r="C45" s="544"/>
      <c r="D45" s="908"/>
      <c r="E45" s="911"/>
      <c r="F45" s="544">
        <f t="shared" si="14"/>
        <v>4.6956348362743152E-3</v>
      </c>
      <c r="G45" s="547" t="s">
        <v>1372</v>
      </c>
      <c r="H45" s="546"/>
      <c r="I45" s="547" t="s">
        <v>1255</v>
      </c>
      <c r="J45" s="544" t="s">
        <v>1242</v>
      </c>
      <c r="K45" s="544" t="s">
        <v>1037</v>
      </c>
      <c r="L45" s="581"/>
      <c r="M45" s="582"/>
      <c r="N45" s="583"/>
      <c r="O45" s="550">
        <v>1</v>
      </c>
      <c r="P45" s="551" t="s">
        <v>78</v>
      </c>
      <c r="Q45" s="506">
        <f t="shared" ref="Q45" si="17">F45*O45</f>
        <v>4.6956348362743152E-3</v>
      </c>
      <c r="R45" s="551">
        <f t="shared" ref="R45" si="18">IF(P45="N",100%,0%)</f>
        <v>1</v>
      </c>
      <c r="S45" s="551"/>
      <c r="T45" s="506"/>
      <c r="U45" s="551"/>
      <c r="V45" s="552"/>
      <c r="W45" s="553"/>
      <c r="X45" s="550" t="s">
        <v>78</v>
      </c>
      <c r="Y45" s="554"/>
      <c r="Z45" s="506"/>
      <c r="AA45" s="551"/>
      <c r="AB45" s="555"/>
      <c r="AC45" s="543"/>
      <c r="AD45" s="164"/>
      <c r="AE45" s="135"/>
      <c r="AF45" s="135"/>
      <c r="AG45" s="135"/>
    </row>
    <row r="46" spans="1:33" ht="16.5" thickBot="1">
      <c r="A46" s="136"/>
      <c r="B46" s="515" t="s">
        <v>1301</v>
      </c>
      <c r="C46" s="559"/>
      <c r="D46" s="909"/>
      <c r="E46" s="912"/>
      <c r="F46" s="569">
        <f t="shared" si="14"/>
        <v>4.6956348362743152E-3</v>
      </c>
      <c r="G46" s="563" t="s">
        <v>1246</v>
      </c>
      <c r="H46" s="569"/>
      <c r="I46" s="563" t="s">
        <v>1242</v>
      </c>
      <c r="J46" s="559" t="s">
        <v>1242</v>
      </c>
      <c r="K46" s="559" t="s">
        <v>1037</v>
      </c>
      <c r="L46" s="559"/>
      <c r="M46" s="564"/>
      <c r="N46" s="565"/>
      <c r="O46" s="550">
        <v>1</v>
      </c>
      <c r="P46" s="567" t="s">
        <v>78</v>
      </c>
      <c r="Q46" s="568">
        <f t="shared" si="0"/>
        <v>4.6956348362743152E-3</v>
      </c>
      <c r="R46" s="567">
        <f t="shared" ref="R46" si="19">IF(P46="N",100%,0%)</f>
        <v>1</v>
      </c>
      <c r="S46" s="569"/>
      <c r="T46" s="568"/>
      <c r="U46" s="567"/>
      <c r="V46" s="570"/>
      <c r="W46" s="571"/>
      <c r="X46" s="566" t="s">
        <v>78</v>
      </c>
      <c r="Y46" s="572"/>
      <c r="Z46" s="568"/>
      <c r="AA46" s="567"/>
      <c r="AB46" s="573"/>
      <c r="AC46" s="543"/>
      <c r="AD46" s="164"/>
      <c r="AE46" s="135"/>
      <c r="AF46" s="135"/>
      <c r="AG46" s="135"/>
    </row>
    <row r="47" spans="1:33" ht="47.25">
      <c r="A47" s="136"/>
      <c r="B47" s="504" t="s">
        <v>1302</v>
      </c>
      <c r="C47" s="531"/>
      <c r="D47" s="907" t="s">
        <v>865</v>
      </c>
      <c r="E47" s="910">
        <f>'Core Block FIT rate'!L34</f>
        <v>2.6689465005552238E-2</v>
      </c>
      <c r="F47" s="531">
        <f>E47/7</f>
        <v>3.8127807150788911E-3</v>
      </c>
      <c r="G47" s="533" t="s">
        <v>1216</v>
      </c>
      <c r="H47" s="574"/>
      <c r="I47" s="587" t="s">
        <v>1261</v>
      </c>
      <c r="J47" s="531" t="s">
        <v>1406</v>
      </c>
      <c r="K47" s="531" t="s">
        <v>884</v>
      </c>
      <c r="L47" s="538"/>
      <c r="M47" s="539"/>
      <c r="N47" s="588"/>
      <c r="O47" s="536">
        <v>1</v>
      </c>
      <c r="P47" s="537" t="s">
        <v>1035</v>
      </c>
      <c r="Q47" s="538">
        <f t="shared" si="0"/>
        <v>3.8127807150788911E-3</v>
      </c>
      <c r="R47" s="538">
        <f t="shared" si="5"/>
        <v>0</v>
      </c>
      <c r="S47" s="538" t="s">
        <v>1262</v>
      </c>
      <c r="T47" s="538"/>
      <c r="U47" s="537">
        <v>0.99</v>
      </c>
      <c r="V47" s="539">
        <f t="shared" si="1"/>
        <v>3.8127807150788944E-5</v>
      </c>
      <c r="W47" s="540"/>
      <c r="X47" s="541" t="s">
        <v>1035</v>
      </c>
      <c r="Y47" s="538" t="str">
        <f>S47</f>
        <v>SM09 SM10 SM11</v>
      </c>
      <c r="Z47" s="538"/>
      <c r="AA47" s="537">
        <v>1</v>
      </c>
      <c r="AB47" s="542">
        <f t="shared" si="3"/>
        <v>0</v>
      </c>
      <c r="AC47" s="543"/>
      <c r="AD47" s="164" t="s">
        <v>1263</v>
      </c>
      <c r="AE47" s="135"/>
      <c r="AF47" s="135"/>
      <c r="AG47" s="135"/>
    </row>
    <row r="48" spans="1:33" ht="47.25">
      <c r="A48" s="136"/>
      <c r="B48" s="505" t="s">
        <v>1303</v>
      </c>
      <c r="C48" s="544"/>
      <c r="D48" s="908"/>
      <c r="E48" s="911"/>
      <c r="F48" s="544">
        <f>F47</f>
        <v>3.8127807150788911E-3</v>
      </c>
      <c r="G48" s="547" t="s">
        <v>1217</v>
      </c>
      <c r="H48" s="546"/>
      <c r="I48" s="547" t="s">
        <v>1261</v>
      </c>
      <c r="J48" s="544" t="s">
        <v>1406</v>
      </c>
      <c r="K48" s="544" t="s">
        <v>884</v>
      </c>
      <c r="L48" s="544"/>
      <c r="M48" s="548"/>
      <c r="N48" s="583"/>
      <c r="O48" s="550">
        <v>1</v>
      </c>
      <c r="P48" s="551" t="s">
        <v>1035</v>
      </c>
      <c r="Q48" s="506">
        <v>3.8168781008986749E-3</v>
      </c>
      <c r="R48" s="551">
        <v>0</v>
      </c>
      <c r="S48" s="579" t="s">
        <v>1262</v>
      </c>
      <c r="T48" s="554"/>
      <c r="U48" s="551">
        <v>0.99</v>
      </c>
      <c r="V48" s="580">
        <v>3.8168781008986783E-5</v>
      </c>
      <c r="W48" s="553"/>
      <c r="X48" s="550" t="s">
        <v>1035</v>
      </c>
      <c r="Y48" s="554" t="str">
        <f t="shared" si="2"/>
        <v>SM09 SM10 SM11</v>
      </c>
      <c r="Z48" s="506"/>
      <c r="AA48" s="551">
        <v>1</v>
      </c>
      <c r="AB48" s="555">
        <v>0</v>
      </c>
      <c r="AC48" s="543"/>
      <c r="AD48" s="164" t="s">
        <v>1263</v>
      </c>
      <c r="AE48" s="135"/>
      <c r="AF48" s="135"/>
      <c r="AG48" s="135"/>
    </row>
    <row r="49" spans="1:33" ht="47.25">
      <c r="A49" s="136"/>
      <c r="B49" s="505" t="s">
        <v>426</v>
      </c>
      <c r="C49" s="544"/>
      <c r="D49" s="908"/>
      <c r="E49" s="911"/>
      <c r="F49" s="544">
        <f t="shared" ref="F49:F53" si="20">F48</f>
        <v>3.8127807150788911E-3</v>
      </c>
      <c r="G49" s="547" t="s">
        <v>1260</v>
      </c>
      <c r="H49" s="546"/>
      <c r="I49" s="547" t="s">
        <v>1261</v>
      </c>
      <c r="J49" s="544" t="s">
        <v>1406</v>
      </c>
      <c r="K49" s="544" t="s">
        <v>884</v>
      </c>
      <c r="L49" s="544"/>
      <c r="M49" s="548"/>
      <c r="N49" s="583"/>
      <c r="O49" s="550">
        <v>1</v>
      </c>
      <c r="P49" s="551" t="s">
        <v>1035</v>
      </c>
      <c r="Q49" s="506">
        <v>3.8168781008986749E-3</v>
      </c>
      <c r="R49" s="551">
        <v>0</v>
      </c>
      <c r="S49" s="579" t="s">
        <v>1262</v>
      </c>
      <c r="T49" s="554"/>
      <c r="U49" s="551">
        <v>0.99</v>
      </c>
      <c r="V49" s="580">
        <v>3.8168781008986783E-5</v>
      </c>
      <c r="W49" s="553"/>
      <c r="X49" s="550" t="s">
        <v>1035</v>
      </c>
      <c r="Y49" s="554" t="str">
        <f t="shared" si="2"/>
        <v>SM09 SM10 SM11</v>
      </c>
      <c r="Z49" s="506"/>
      <c r="AA49" s="551">
        <v>1</v>
      </c>
      <c r="AB49" s="555">
        <v>0</v>
      </c>
      <c r="AC49" s="543"/>
      <c r="AD49" s="164" t="s">
        <v>1263</v>
      </c>
      <c r="AE49" s="135"/>
      <c r="AF49" s="135"/>
      <c r="AG49" s="135"/>
    </row>
    <row r="50" spans="1:33" ht="47.25">
      <c r="A50" s="136"/>
      <c r="B50" s="505" t="s">
        <v>427</v>
      </c>
      <c r="C50" s="506"/>
      <c r="D50" s="908"/>
      <c r="E50" s="911"/>
      <c r="F50" s="544">
        <f t="shared" si="20"/>
        <v>3.8127807150788911E-3</v>
      </c>
      <c r="G50" s="547" t="s">
        <v>1259</v>
      </c>
      <c r="H50" s="546"/>
      <c r="I50" s="547" t="s">
        <v>1261</v>
      </c>
      <c r="J50" s="544" t="s">
        <v>1406</v>
      </c>
      <c r="K50" s="544" t="s">
        <v>884</v>
      </c>
      <c r="L50" s="544"/>
      <c r="M50" s="548"/>
      <c r="N50" s="583"/>
      <c r="O50" s="550">
        <v>1</v>
      </c>
      <c r="P50" s="551" t="s">
        <v>1035</v>
      </c>
      <c r="Q50" s="506">
        <v>3.8168781008986749E-3</v>
      </c>
      <c r="R50" s="551">
        <v>0</v>
      </c>
      <c r="S50" s="579" t="s">
        <v>1262</v>
      </c>
      <c r="T50" s="554"/>
      <c r="U50" s="551">
        <v>0.99</v>
      </c>
      <c r="V50" s="580">
        <v>3.8168781008986783E-5</v>
      </c>
      <c r="W50" s="553"/>
      <c r="X50" s="550" t="s">
        <v>1035</v>
      </c>
      <c r="Y50" s="554" t="str">
        <f t="shared" si="2"/>
        <v>SM09 SM10 SM11</v>
      </c>
      <c r="Z50" s="506"/>
      <c r="AA50" s="551">
        <v>1</v>
      </c>
      <c r="AB50" s="555">
        <v>0</v>
      </c>
      <c r="AC50" s="543"/>
      <c r="AD50" s="164" t="s">
        <v>1263</v>
      </c>
      <c r="AE50" s="135"/>
      <c r="AF50" s="135"/>
      <c r="AG50" s="135"/>
    </row>
    <row r="51" spans="1:33" ht="15.75">
      <c r="A51" s="136"/>
      <c r="B51" s="505" t="s">
        <v>1304</v>
      </c>
      <c r="C51" s="506"/>
      <c r="D51" s="908"/>
      <c r="E51" s="911"/>
      <c r="F51" s="544">
        <f t="shared" si="20"/>
        <v>3.8127807150788911E-3</v>
      </c>
      <c r="G51" s="547" t="s">
        <v>1258</v>
      </c>
      <c r="H51" s="546"/>
      <c r="I51" s="547" t="s">
        <v>1242</v>
      </c>
      <c r="J51" s="544" t="s">
        <v>1242</v>
      </c>
      <c r="K51" s="544" t="s">
        <v>1037</v>
      </c>
      <c r="L51" s="581"/>
      <c r="M51" s="582"/>
      <c r="N51" s="583"/>
      <c r="O51" s="550">
        <v>1</v>
      </c>
      <c r="P51" s="551" t="s">
        <v>78</v>
      </c>
      <c r="Q51" s="506">
        <f t="shared" si="0"/>
        <v>3.8127807150788911E-3</v>
      </c>
      <c r="R51" s="551">
        <f t="shared" ref="R51" si="21">IF(P51="N",100%,0%)</f>
        <v>1</v>
      </c>
      <c r="S51" s="551"/>
      <c r="T51" s="506"/>
      <c r="U51" s="551"/>
      <c r="V51" s="552"/>
      <c r="W51" s="553"/>
      <c r="X51" s="550" t="s">
        <v>78</v>
      </c>
      <c r="Y51" s="554"/>
      <c r="Z51" s="506"/>
      <c r="AA51" s="551"/>
      <c r="AB51" s="555"/>
      <c r="AC51" s="543"/>
      <c r="AD51" s="164"/>
      <c r="AE51" s="135"/>
      <c r="AF51" s="135"/>
      <c r="AG51" s="135"/>
    </row>
    <row r="52" spans="1:33" ht="47.25">
      <c r="A52" s="136"/>
      <c r="B52" s="505" t="s">
        <v>428</v>
      </c>
      <c r="C52" s="506"/>
      <c r="D52" s="908"/>
      <c r="E52" s="911"/>
      <c r="F52" s="544">
        <f t="shared" si="20"/>
        <v>3.8127807150788911E-3</v>
      </c>
      <c r="G52" s="547" t="s">
        <v>1257</v>
      </c>
      <c r="H52" s="546"/>
      <c r="I52" s="589" t="s">
        <v>1261</v>
      </c>
      <c r="J52" s="544" t="s">
        <v>1406</v>
      </c>
      <c r="K52" s="544" t="s">
        <v>884</v>
      </c>
      <c r="L52" s="544"/>
      <c r="M52" s="548"/>
      <c r="N52" s="583"/>
      <c r="O52" s="550">
        <v>1</v>
      </c>
      <c r="P52" s="551" t="s">
        <v>1035</v>
      </c>
      <c r="Q52" s="506">
        <v>3.8168781008986749E-3</v>
      </c>
      <c r="R52" s="551">
        <v>0</v>
      </c>
      <c r="S52" s="579" t="s">
        <v>1262</v>
      </c>
      <c r="T52" s="554"/>
      <c r="U52" s="551">
        <v>0.99</v>
      </c>
      <c r="V52" s="580">
        <v>3.8168781008986783E-5</v>
      </c>
      <c r="W52" s="553"/>
      <c r="X52" s="550" t="s">
        <v>1035</v>
      </c>
      <c r="Y52" s="554" t="str">
        <f t="shared" si="2"/>
        <v>SM09 SM10 SM11</v>
      </c>
      <c r="Z52" s="506"/>
      <c r="AA52" s="551">
        <v>1</v>
      </c>
      <c r="AB52" s="555">
        <v>0</v>
      </c>
      <c r="AC52" s="543"/>
      <c r="AD52" s="164" t="s">
        <v>1263</v>
      </c>
      <c r="AE52" s="135"/>
      <c r="AF52" s="135"/>
      <c r="AG52" s="135"/>
    </row>
    <row r="53" spans="1:33" ht="16.5" thickBot="1">
      <c r="A53" s="136"/>
      <c r="B53" s="516" t="s">
        <v>429</v>
      </c>
      <c r="C53" s="568"/>
      <c r="D53" s="909"/>
      <c r="E53" s="912"/>
      <c r="F53" s="559">
        <f t="shared" si="20"/>
        <v>3.8127807150788911E-3</v>
      </c>
      <c r="G53" s="563" t="s">
        <v>1256</v>
      </c>
      <c r="H53" s="562"/>
      <c r="I53" s="563" t="s">
        <v>1242</v>
      </c>
      <c r="J53" s="559" t="s">
        <v>1242</v>
      </c>
      <c r="K53" s="559" t="s">
        <v>1037</v>
      </c>
      <c r="L53" s="559"/>
      <c r="M53" s="564"/>
      <c r="N53" s="565"/>
      <c r="O53" s="566">
        <v>1</v>
      </c>
      <c r="P53" s="567" t="s">
        <v>78</v>
      </c>
      <c r="Q53" s="568">
        <f t="shared" ref="Q53" si="22">F53*O53</f>
        <v>3.8127807150788911E-3</v>
      </c>
      <c r="R53" s="567">
        <f t="shared" si="5"/>
        <v>1</v>
      </c>
      <c r="S53" s="569"/>
      <c r="T53" s="568"/>
      <c r="U53" s="567"/>
      <c r="V53" s="570"/>
      <c r="W53" s="571"/>
      <c r="X53" s="566" t="s">
        <v>78</v>
      </c>
      <c r="Y53" s="572"/>
      <c r="Z53" s="568"/>
      <c r="AA53" s="567"/>
      <c r="AB53" s="573"/>
      <c r="AC53" s="543"/>
      <c r="AD53" s="164"/>
      <c r="AE53" s="135"/>
      <c r="AF53" s="135"/>
      <c r="AG53" s="135"/>
    </row>
    <row r="54" spans="1:33" ht="63">
      <c r="A54" s="136"/>
      <c r="B54" s="504" t="s">
        <v>430</v>
      </c>
      <c r="C54" s="531"/>
      <c r="D54" s="907" t="s">
        <v>866</v>
      </c>
      <c r="E54" s="910">
        <f>'Core Block FIT rate'!L35</f>
        <v>9.9916828263942152E-3</v>
      </c>
      <c r="F54" s="531">
        <f>E54/7</f>
        <v>1.4273832609134594E-3</v>
      </c>
      <c r="G54" s="533" t="s">
        <v>1216</v>
      </c>
      <c r="H54" s="574"/>
      <c r="I54" s="533" t="s">
        <v>1265</v>
      </c>
      <c r="J54" s="531" t="s">
        <v>1407</v>
      </c>
      <c r="K54" s="531" t="s">
        <v>884</v>
      </c>
      <c r="L54" s="531"/>
      <c r="M54" s="539" t="s">
        <v>1055</v>
      </c>
      <c r="N54" s="590"/>
      <c r="O54" s="536">
        <v>0.5</v>
      </c>
      <c r="P54" s="537" t="s">
        <v>1035</v>
      </c>
      <c r="Q54" s="538">
        <f t="shared" ref="Q54:Q83" si="23">F54*O54</f>
        <v>7.136916304567297E-4</v>
      </c>
      <c r="R54" s="537">
        <f t="shared" si="5"/>
        <v>0</v>
      </c>
      <c r="S54" s="537" t="s">
        <v>1269</v>
      </c>
      <c r="T54" s="577"/>
      <c r="U54" s="537">
        <v>0.9</v>
      </c>
      <c r="V54" s="539">
        <f t="shared" ref="V54:V69" si="24">IF(P54="N",0,Q54*(1-R54)*(1-U54))</f>
        <v>7.1369163045672951E-5</v>
      </c>
      <c r="W54" s="540"/>
      <c r="X54" s="541" t="s">
        <v>1035</v>
      </c>
      <c r="Y54" s="538" t="str">
        <f>S54</f>
        <v>SM17 SM23</v>
      </c>
      <c r="Z54" s="591"/>
      <c r="AA54" s="537">
        <v>0.8</v>
      </c>
      <c r="AB54" s="542">
        <f t="shared" si="3"/>
        <v>1.2846449348221132E-4</v>
      </c>
      <c r="AC54" s="592"/>
      <c r="AD54" s="164"/>
      <c r="AE54" s="135"/>
      <c r="AF54" s="135"/>
      <c r="AG54" s="135"/>
    </row>
    <row r="55" spans="1:33" ht="31.5">
      <c r="A55" s="136"/>
      <c r="B55" s="505" t="s">
        <v>431</v>
      </c>
      <c r="C55" s="506"/>
      <c r="D55" s="908"/>
      <c r="E55" s="911"/>
      <c r="F55" s="544">
        <f>F54</f>
        <v>1.4273832609134594E-3</v>
      </c>
      <c r="G55" s="545" t="s">
        <v>1217</v>
      </c>
      <c r="H55" s="546"/>
      <c r="I55" s="547" t="s">
        <v>1264</v>
      </c>
      <c r="J55" s="544" t="s">
        <v>1408</v>
      </c>
      <c r="K55" s="544" t="s">
        <v>884</v>
      </c>
      <c r="L55" s="581"/>
      <c r="M55" s="552" t="s">
        <v>1055</v>
      </c>
      <c r="N55" s="583"/>
      <c r="O55" s="550">
        <v>0.5</v>
      </c>
      <c r="P55" s="551" t="s">
        <v>1035</v>
      </c>
      <c r="Q55" s="506">
        <f t="shared" si="23"/>
        <v>7.136916304567297E-4</v>
      </c>
      <c r="R55" s="551">
        <f t="shared" si="5"/>
        <v>0</v>
      </c>
      <c r="S55" s="551" t="s">
        <v>1269</v>
      </c>
      <c r="T55" s="551"/>
      <c r="U55" s="551">
        <v>0.9</v>
      </c>
      <c r="V55" s="552">
        <f t="shared" si="24"/>
        <v>7.1369163045672951E-5</v>
      </c>
      <c r="W55" s="553"/>
      <c r="X55" s="550" t="s">
        <v>1035</v>
      </c>
      <c r="Y55" s="554" t="str">
        <f t="shared" si="2"/>
        <v>SM17 SM23</v>
      </c>
      <c r="Z55" s="593"/>
      <c r="AA55" s="551">
        <v>0.8</v>
      </c>
      <c r="AB55" s="555">
        <f t="shared" si="3"/>
        <v>1.2846449348221132E-4</v>
      </c>
      <c r="AC55" s="592"/>
      <c r="AD55" s="164"/>
      <c r="AE55" s="135"/>
      <c r="AF55" s="135"/>
      <c r="AG55" s="135"/>
    </row>
    <row r="56" spans="1:33" ht="47.25">
      <c r="A56" s="136"/>
      <c r="B56" s="505" t="s">
        <v>432</v>
      </c>
      <c r="C56" s="506"/>
      <c r="D56" s="908"/>
      <c r="E56" s="911"/>
      <c r="F56" s="544">
        <f>F55</f>
        <v>1.4273832609134594E-3</v>
      </c>
      <c r="G56" s="545" t="s">
        <v>1218</v>
      </c>
      <c r="H56" s="546"/>
      <c r="I56" s="547" t="s">
        <v>1225</v>
      </c>
      <c r="J56" s="544" t="s">
        <v>1408</v>
      </c>
      <c r="K56" s="544" t="s">
        <v>884</v>
      </c>
      <c r="L56" s="581"/>
      <c r="M56" s="552" t="s">
        <v>1055</v>
      </c>
      <c r="N56" s="583"/>
      <c r="O56" s="550">
        <v>0.5</v>
      </c>
      <c r="P56" s="551" t="s">
        <v>1035</v>
      </c>
      <c r="Q56" s="506">
        <f t="shared" si="23"/>
        <v>7.136916304567297E-4</v>
      </c>
      <c r="R56" s="551">
        <f t="shared" si="5"/>
        <v>0</v>
      </c>
      <c r="S56" s="551" t="s">
        <v>1269</v>
      </c>
      <c r="T56" s="551"/>
      <c r="U56" s="551">
        <v>0.9</v>
      </c>
      <c r="V56" s="552">
        <f t="shared" si="24"/>
        <v>7.1369163045672951E-5</v>
      </c>
      <c r="W56" s="553"/>
      <c r="X56" s="550" t="s">
        <v>1035</v>
      </c>
      <c r="Y56" s="554" t="str">
        <f t="shared" si="2"/>
        <v>SM17 SM23</v>
      </c>
      <c r="Z56" s="593"/>
      <c r="AA56" s="551">
        <v>0.8</v>
      </c>
      <c r="AB56" s="555">
        <f t="shared" si="3"/>
        <v>1.2846449348221132E-4</v>
      </c>
      <c r="AC56" s="592"/>
      <c r="AD56" s="164"/>
      <c r="AE56" s="135"/>
      <c r="AF56" s="135"/>
      <c r="AG56" s="135"/>
    </row>
    <row r="57" spans="1:33" ht="47.25">
      <c r="A57" s="136"/>
      <c r="B57" s="505" t="s">
        <v>433</v>
      </c>
      <c r="C57" s="506"/>
      <c r="D57" s="908"/>
      <c r="E57" s="911"/>
      <c r="F57" s="544">
        <f>F56</f>
        <v>1.4273832609134594E-3</v>
      </c>
      <c r="G57" s="545" t="s">
        <v>1219</v>
      </c>
      <c r="H57" s="546"/>
      <c r="I57" s="547" t="s">
        <v>1225</v>
      </c>
      <c r="J57" s="544" t="s">
        <v>1408</v>
      </c>
      <c r="K57" s="544" t="s">
        <v>884</v>
      </c>
      <c r="L57" s="581"/>
      <c r="M57" s="552" t="s">
        <v>1055</v>
      </c>
      <c r="N57" s="583"/>
      <c r="O57" s="550">
        <v>0.5</v>
      </c>
      <c r="P57" s="551" t="s">
        <v>1035</v>
      </c>
      <c r="Q57" s="506">
        <f t="shared" si="23"/>
        <v>7.136916304567297E-4</v>
      </c>
      <c r="R57" s="551">
        <f t="shared" si="5"/>
        <v>0</v>
      </c>
      <c r="S57" s="551" t="s">
        <v>1269</v>
      </c>
      <c r="T57" s="554"/>
      <c r="U57" s="551">
        <v>0.9</v>
      </c>
      <c r="V57" s="552">
        <f t="shared" si="24"/>
        <v>7.1369163045672951E-5</v>
      </c>
      <c r="W57" s="553"/>
      <c r="X57" s="550" t="s">
        <v>1035</v>
      </c>
      <c r="Y57" s="554" t="str">
        <f t="shared" si="2"/>
        <v>SM17 SM23</v>
      </c>
      <c r="Z57" s="593"/>
      <c r="AA57" s="551">
        <v>0.8</v>
      </c>
      <c r="AB57" s="555">
        <f t="shared" si="3"/>
        <v>1.2846449348221132E-4</v>
      </c>
      <c r="AC57" s="592"/>
      <c r="AD57" s="164"/>
      <c r="AE57" s="135"/>
      <c r="AF57" s="135"/>
      <c r="AG57" s="135"/>
    </row>
    <row r="58" spans="1:33" ht="15.75">
      <c r="A58" s="136"/>
      <c r="B58" s="505" t="s">
        <v>1305</v>
      </c>
      <c r="C58" s="506"/>
      <c r="D58" s="908"/>
      <c r="E58" s="911"/>
      <c r="F58" s="544">
        <f t="shared" ref="F58:F60" si="25">F57</f>
        <v>1.4273832609134594E-3</v>
      </c>
      <c r="G58" s="545" t="s">
        <v>1220</v>
      </c>
      <c r="H58" s="546"/>
      <c r="I58" s="547" t="s">
        <v>1242</v>
      </c>
      <c r="J58" s="544" t="s">
        <v>1242</v>
      </c>
      <c r="K58" s="544" t="s">
        <v>1037</v>
      </c>
      <c r="L58" s="581"/>
      <c r="M58" s="552"/>
      <c r="N58" s="583"/>
      <c r="O58" s="550">
        <v>1</v>
      </c>
      <c r="P58" s="551" t="s">
        <v>78</v>
      </c>
      <c r="Q58" s="506">
        <f t="shared" ref="Q58" si="26">F58*O58</f>
        <v>1.4273832609134594E-3</v>
      </c>
      <c r="R58" s="551">
        <f t="shared" si="5"/>
        <v>1</v>
      </c>
      <c r="S58" s="551"/>
      <c r="T58" s="551"/>
      <c r="U58" s="551"/>
      <c r="V58" s="552"/>
      <c r="W58" s="553"/>
      <c r="X58" s="550" t="s">
        <v>78</v>
      </c>
      <c r="Y58" s="551"/>
      <c r="Z58" s="593"/>
      <c r="AA58" s="551"/>
      <c r="AB58" s="555"/>
      <c r="AC58" s="543"/>
      <c r="AD58" s="164"/>
      <c r="AE58" s="135"/>
      <c r="AF58" s="135"/>
      <c r="AG58" s="135"/>
    </row>
    <row r="59" spans="1:33" ht="15.75">
      <c r="A59" s="136"/>
      <c r="B59" s="505" t="s">
        <v>434</v>
      </c>
      <c r="C59" s="506"/>
      <c r="D59" s="908"/>
      <c r="E59" s="911"/>
      <c r="F59" s="544">
        <f t="shared" si="25"/>
        <v>1.4273832609134594E-3</v>
      </c>
      <c r="G59" s="545" t="s">
        <v>1221</v>
      </c>
      <c r="H59" s="546"/>
      <c r="I59" s="547" t="s">
        <v>1242</v>
      </c>
      <c r="J59" s="544" t="s">
        <v>1242</v>
      </c>
      <c r="K59" s="544" t="s">
        <v>1037</v>
      </c>
      <c r="L59" s="581"/>
      <c r="M59" s="552"/>
      <c r="N59" s="583"/>
      <c r="O59" s="550">
        <v>1</v>
      </c>
      <c r="P59" s="551" t="s">
        <v>78</v>
      </c>
      <c r="Q59" s="506">
        <f t="shared" ref="Q59" si="27">F59*O59</f>
        <v>1.4273832609134594E-3</v>
      </c>
      <c r="R59" s="551">
        <f t="shared" ref="R59" si="28">IF(P59="N",100%,0%)</f>
        <v>1</v>
      </c>
      <c r="S59" s="551"/>
      <c r="T59" s="551"/>
      <c r="U59" s="551"/>
      <c r="V59" s="552"/>
      <c r="W59" s="553"/>
      <c r="X59" s="550" t="s">
        <v>78</v>
      </c>
      <c r="Y59" s="551"/>
      <c r="Z59" s="593"/>
      <c r="AA59" s="551"/>
      <c r="AB59" s="555"/>
      <c r="AC59" s="543"/>
      <c r="AD59" s="164"/>
      <c r="AE59" s="135"/>
      <c r="AF59" s="135"/>
      <c r="AG59" s="135"/>
    </row>
    <row r="60" spans="1:33" ht="16.5" thickBot="1">
      <c r="A60" s="136"/>
      <c r="B60" s="515" t="s">
        <v>1306</v>
      </c>
      <c r="C60" s="568"/>
      <c r="D60" s="909"/>
      <c r="E60" s="912"/>
      <c r="F60" s="559">
        <f t="shared" si="25"/>
        <v>1.4273832609134594E-3</v>
      </c>
      <c r="G60" s="561" t="s">
        <v>1222</v>
      </c>
      <c r="H60" s="546"/>
      <c r="I60" s="547" t="s">
        <v>1242</v>
      </c>
      <c r="J60" s="544" t="s">
        <v>1242</v>
      </c>
      <c r="K60" s="544" t="s">
        <v>1037</v>
      </c>
      <c r="L60" s="581"/>
      <c r="M60" s="552"/>
      <c r="N60" s="583"/>
      <c r="O60" s="550">
        <v>1</v>
      </c>
      <c r="P60" s="551" t="s">
        <v>78</v>
      </c>
      <c r="Q60" s="506">
        <f t="shared" si="23"/>
        <v>1.4273832609134594E-3</v>
      </c>
      <c r="R60" s="551">
        <f t="shared" ref="R60" si="29">IF(P60="N",100%,0%)</f>
        <v>1</v>
      </c>
      <c r="S60" s="551"/>
      <c r="T60" s="551"/>
      <c r="U60" s="551"/>
      <c r="V60" s="552"/>
      <c r="W60" s="553"/>
      <c r="X60" s="550" t="s">
        <v>78</v>
      </c>
      <c r="Y60" s="551"/>
      <c r="Z60" s="593"/>
      <c r="AA60" s="551"/>
      <c r="AB60" s="555"/>
      <c r="AC60" s="543"/>
      <c r="AD60" s="164"/>
      <c r="AE60" s="135"/>
      <c r="AF60" s="135"/>
      <c r="AG60" s="135"/>
    </row>
    <row r="61" spans="1:33" ht="31.5">
      <c r="A61" s="136"/>
      <c r="B61" s="504" t="s">
        <v>435</v>
      </c>
      <c r="C61" s="538"/>
      <c r="D61" s="907" t="s">
        <v>867</v>
      </c>
      <c r="E61" s="910">
        <f>'Core Block FIT rate'!L36</f>
        <v>3.6370288290108285E-2</v>
      </c>
      <c r="F61" s="538">
        <f>E61/8</f>
        <v>4.5462860362635357E-3</v>
      </c>
      <c r="G61" s="533" t="s">
        <v>1216</v>
      </c>
      <c r="H61" s="532"/>
      <c r="I61" s="533" t="s">
        <v>1270</v>
      </c>
      <c r="J61" s="531" t="s">
        <v>1242</v>
      </c>
      <c r="K61" s="531" t="s">
        <v>1037</v>
      </c>
      <c r="L61" s="584"/>
      <c r="M61" s="585"/>
      <c r="N61" s="586"/>
      <c r="O61" s="536">
        <v>1</v>
      </c>
      <c r="P61" s="537" t="s">
        <v>78</v>
      </c>
      <c r="Q61" s="538">
        <v>0</v>
      </c>
      <c r="R61" s="537">
        <v>1</v>
      </c>
      <c r="S61" s="537"/>
      <c r="T61" s="577"/>
      <c r="U61" s="537"/>
      <c r="V61" s="539"/>
      <c r="W61" s="540"/>
      <c r="X61" s="541" t="s">
        <v>78</v>
      </c>
      <c r="Y61" s="538"/>
      <c r="Z61" s="537"/>
      <c r="AA61" s="537"/>
      <c r="AB61" s="542"/>
      <c r="AC61" s="592"/>
      <c r="AD61" s="164"/>
      <c r="AE61" s="135"/>
      <c r="AF61" s="135"/>
      <c r="AG61" s="135"/>
    </row>
    <row r="62" spans="1:33" ht="31.5">
      <c r="A62" s="136"/>
      <c r="B62" s="505" t="s">
        <v>436</v>
      </c>
      <c r="C62" s="506"/>
      <c r="D62" s="908"/>
      <c r="E62" s="911"/>
      <c r="F62" s="506">
        <f t="shared" ref="F62:F82" si="30">F61</f>
        <v>4.5462860362635357E-3</v>
      </c>
      <c r="G62" s="545" t="s">
        <v>1217</v>
      </c>
      <c r="H62" s="579"/>
      <c r="I62" s="547" t="s">
        <v>1270</v>
      </c>
      <c r="J62" s="544" t="s">
        <v>1242</v>
      </c>
      <c r="K62" s="544" t="s">
        <v>1037</v>
      </c>
      <c r="L62" s="581"/>
      <c r="M62" s="552"/>
      <c r="N62" s="583"/>
      <c r="O62" s="550">
        <v>1</v>
      </c>
      <c r="P62" s="551" t="s">
        <v>78</v>
      </c>
      <c r="Q62" s="506">
        <f t="shared" ref="Q62" si="31">F62*O62</f>
        <v>4.5462860362635357E-3</v>
      </c>
      <c r="R62" s="551">
        <f t="shared" ref="R62" si="32">IF(P62="N",100%,0%)</f>
        <v>1</v>
      </c>
      <c r="S62" s="551"/>
      <c r="T62" s="551"/>
      <c r="U62" s="551"/>
      <c r="V62" s="552"/>
      <c r="W62" s="553"/>
      <c r="X62" s="550" t="s">
        <v>78</v>
      </c>
      <c r="Y62" s="551"/>
      <c r="Z62" s="593"/>
      <c r="AA62" s="551"/>
      <c r="AB62" s="555"/>
      <c r="AC62" s="543"/>
      <c r="AD62" s="164"/>
      <c r="AE62" s="135"/>
      <c r="AF62" s="135"/>
      <c r="AG62" s="135"/>
    </row>
    <row r="63" spans="1:33" ht="31.5">
      <c r="A63" s="136"/>
      <c r="B63" s="505" t="s">
        <v>1307</v>
      </c>
      <c r="C63" s="506"/>
      <c r="D63" s="908"/>
      <c r="E63" s="911"/>
      <c r="F63" s="506">
        <f t="shared" si="30"/>
        <v>4.5462860362635357E-3</v>
      </c>
      <c r="G63" s="545" t="s">
        <v>1218</v>
      </c>
      <c r="H63" s="579"/>
      <c r="I63" s="547" t="s">
        <v>1270</v>
      </c>
      <c r="J63" s="544" t="s">
        <v>1242</v>
      </c>
      <c r="K63" s="544" t="s">
        <v>1037</v>
      </c>
      <c r="L63" s="581"/>
      <c r="M63" s="552"/>
      <c r="N63" s="583"/>
      <c r="O63" s="550">
        <v>1</v>
      </c>
      <c r="P63" s="551" t="s">
        <v>78</v>
      </c>
      <c r="Q63" s="506">
        <f t="shared" ref="Q63" si="33">F63*O63</f>
        <v>4.5462860362635357E-3</v>
      </c>
      <c r="R63" s="551">
        <f t="shared" ref="R63" si="34">IF(P63="N",100%,0%)</f>
        <v>1</v>
      </c>
      <c r="S63" s="551"/>
      <c r="T63" s="551"/>
      <c r="U63" s="551"/>
      <c r="V63" s="552"/>
      <c r="W63" s="553"/>
      <c r="X63" s="550" t="s">
        <v>78</v>
      </c>
      <c r="Y63" s="551"/>
      <c r="Z63" s="593"/>
      <c r="AA63" s="551"/>
      <c r="AB63" s="555"/>
      <c r="AC63" s="543"/>
      <c r="AD63" s="164"/>
      <c r="AE63" s="135"/>
      <c r="AF63" s="135"/>
      <c r="AG63" s="135"/>
    </row>
    <row r="64" spans="1:33" ht="31.5">
      <c r="A64" s="136"/>
      <c r="B64" s="505" t="s">
        <v>437</v>
      </c>
      <c r="C64" s="506"/>
      <c r="D64" s="908"/>
      <c r="E64" s="911"/>
      <c r="F64" s="506">
        <f t="shared" si="30"/>
        <v>4.5462860362635357E-3</v>
      </c>
      <c r="G64" s="545" t="s">
        <v>1219</v>
      </c>
      <c r="H64" s="579"/>
      <c r="I64" s="589" t="s">
        <v>1270</v>
      </c>
      <c r="J64" s="544" t="s">
        <v>1242</v>
      </c>
      <c r="K64" s="544" t="s">
        <v>1037</v>
      </c>
      <c r="L64" s="581"/>
      <c r="M64" s="552"/>
      <c r="N64" s="583"/>
      <c r="O64" s="550">
        <v>1</v>
      </c>
      <c r="P64" s="551" t="s">
        <v>78</v>
      </c>
      <c r="Q64" s="506">
        <f t="shared" ref="Q64" si="35">F64*O64</f>
        <v>4.5462860362635357E-3</v>
      </c>
      <c r="R64" s="551">
        <f t="shared" ref="R64" si="36">IF(P64="N",100%,0%)</f>
        <v>1</v>
      </c>
      <c r="S64" s="551"/>
      <c r="T64" s="551"/>
      <c r="U64" s="551"/>
      <c r="V64" s="552"/>
      <c r="W64" s="553"/>
      <c r="X64" s="550" t="s">
        <v>78</v>
      </c>
      <c r="Y64" s="551"/>
      <c r="Z64" s="593"/>
      <c r="AA64" s="551"/>
      <c r="AB64" s="555"/>
      <c r="AC64" s="543"/>
      <c r="AD64" s="164"/>
      <c r="AE64" s="135"/>
      <c r="AF64" s="135"/>
      <c r="AG64" s="135"/>
    </row>
    <row r="65" spans="1:33" ht="15.75">
      <c r="A65" s="136"/>
      <c r="B65" s="505" t="s">
        <v>438</v>
      </c>
      <c r="C65" s="506"/>
      <c r="D65" s="908"/>
      <c r="E65" s="911"/>
      <c r="F65" s="506">
        <f t="shared" si="30"/>
        <v>4.5462860362635357E-3</v>
      </c>
      <c r="G65" s="545" t="s">
        <v>1220</v>
      </c>
      <c r="H65" s="546"/>
      <c r="I65" s="547" t="s">
        <v>1242</v>
      </c>
      <c r="J65" s="544" t="s">
        <v>1242</v>
      </c>
      <c r="K65" s="544" t="s">
        <v>1037</v>
      </c>
      <c r="L65" s="581"/>
      <c r="M65" s="552"/>
      <c r="N65" s="583"/>
      <c r="O65" s="550">
        <v>1</v>
      </c>
      <c r="P65" s="551" t="s">
        <v>78</v>
      </c>
      <c r="Q65" s="506">
        <f t="shared" si="23"/>
        <v>4.5462860362635357E-3</v>
      </c>
      <c r="R65" s="551">
        <f t="shared" si="5"/>
        <v>1</v>
      </c>
      <c r="S65" s="551"/>
      <c r="T65" s="551"/>
      <c r="U65" s="551"/>
      <c r="V65" s="552"/>
      <c r="W65" s="553"/>
      <c r="X65" s="550" t="s">
        <v>78</v>
      </c>
      <c r="Y65" s="551"/>
      <c r="Z65" s="593"/>
      <c r="AA65" s="551"/>
      <c r="AB65" s="555"/>
      <c r="AC65" s="543"/>
      <c r="AD65" s="164"/>
      <c r="AE65" s="135"/>
      <c r="AF65" s="135"/>
      <c r="AG65" s="135"/>
    </row>
    <row r="66" spans="1:33" ht="15.75">
      <c r="A66" s="136"/>
      <c r="B66" s="505" t="s">
        <v>1308</v>
      </c>
      <c r="C66" s="506"/>
      <c r="D66" s="908"/>
      <c r="E66" s="911"/>
      <c r="F66" s="506">
        <f t="shared" si="30"/>
        <v>4.5462860362635357E-3</v>
      </c>
      <c r="G66" s="545" t="s">
        <v>1221</v>
      </c>
      <c r="H66" s="546"/>
      <c r="I66" s="547" t="s">
        <v>1242</v>
      </c>
      <c r="J66" s="544" t="s">
        <v>1242</v>
      </c>
      <c r="K66" s="544" t="s">
        <v>1037</v>
      </c>
      <c r="L66" s="581"/>
      <c r="M66" s="552"/>
      <c r="N66" s="583"/>
      <c r="O66" s="550">
        <v>1</v>
      </c>
      <c r="P66" s="551" t="s">
        <v>78</v>
      </c>
      <c r="Q66" s="506">
        <f t="shared" si="23"/>
        <v>4.5462860362635357E-3</v>
      </c>
      <c r="R66" s="551">
        <f t="shared" si="5"/>
        <v>1</v>
      </c>
      <c r="S66" s="551"/>
      <c r="T66" s="551"/>
      <c r="U66" s="551"/>
      <c r="V66" s="552"/>
      <c r="W66" s="553"/>
      <c r="X66" s="550" t="s">
        <v>78</v>
      </c>
      <c r="Y66" s="551"/>
      <c r="Z66" s="593"/>
      <c r="AA66" s="551"/>
      <c r="AB66" s="555"/>
      <c r="AC66" s="543"/>
      <c r="AD66" s="164"/>
      <c r="AE66" s="135"/>
      <c r="AF66" s="135"/>
      <c r="AG66" s="135"/>
    </row>
    <row r="67" spans="1:33" ht="15.75">
      <c r="A67" s="136"/>
      <c r="B67" s="505" t="s">
        <v>439</v>
      </c>
      <c r="C67" s="506"/>
      <c r="D67" s="908"/>
      <c r="E67" s="911"/>
      <c r="F67" s="506">
        <f t="shared" si="30"/>
        <v>4.5462860362635357E-3</v>
      </c>
      <c r="G67" s="545" t="s">
        <v>1222</v>
      </c>
      <c r="H67" s="546"/>
      <c r="I67" s="547" t="s">
        <v>1242</v>
      </c>
      <c r="J67" s="544" t="s">
        <v>1242</v>
      </c>
      <c r="K67" s="544" t="s">
        <v>1037</v>
      </c>
      <c r="L67" s="581"/>
      <c r="M67" s="552"/>
      <c r="N67" s="583"/>
      <c r="O67" s="550">
        <v>1</v>
      </c>
      <c r="P67" s="551" t="s">
        <v>78</v>
      </c>
      <c r="Q67" s="506">
        <f t="shared" si="23"/>
        <v>4.5462860362635357E-3</v>
      </c>
      <c r="R67" s="551">
        <f t="shared" si="5"/>
        <v>1</v>
      </c>
      <c r="S67" s="551"/>
      <c r="T67" s="551"/>
      <c r="U67" s="551"/>
      <c r="V67" s="552"/>
      <c r="W67" s="553"/>
      <c r="X67" s="550" t="s">
        <v>78</v>
      </c>
      <c r="Y67" s="551"/>
      <c r="Z67" s="593"/>
      <c r="AA67" s="551"/>
      <c r="AB67" s="555"/>
      <c r="AC67" s="543"/>
      <c r="AD67" s="164"/>
      <c r="AE67" s="135"/>
      <c r="AF67" s="135"/>
      <c r="AG67" s="135"/>
    </row>
    <row r="68" spans="1:33" ht="16.5" thickBot="1">
      <c r="A68" s="136"/>
      <c r="B68" s="515" t="s">
        <v>440</v>
      </c>
      <c r="C68" s="568"/>
      <c r="D68" s="909"/>
      <c r="E68" s="912"/>
      <c r="F68" s="568">
        <f t="shared" si="30"/>
        <v>4.5462860362635357E-3</v>
      </c>
      <c r="G68" s="563" t="s">
        <v>1246</v>
      </c>
      <c r="H68" s="546"/>
      <c r="I68" s="547" t="s">
        <v>1242</v>
      </c>
      <c r="J68" s="544" t="s">
        <v>1242</v>
      </c>
      <c r="K68" s="544" t="s">
        <v>1037</v>
      </c>
      <c r="L68" s="581"/>
      <c r="M68" s="552"/>
      <c r="N68" s="583"/>
      <c r="O68" s="550">
        <v>1</v>
      </c>
      <c r="P68" s="551" t="s">
        <v>78</v>
      </c>
      <c r="Q68" s="506">
        <f t="shared" ref="Q68" si="37">F68*O68</f>
        <v>4.5462860362635357E-3</v>
      </c>
      <c r="R68" s="551">
        <f t="shared" si="5"/>
        <v>1</v>
      </c>
      <c r="S68" s="551"/>
      <c r="T68" s="551"/>
      <c r="U68" s="551"/>
      <c r="V68" s="552"/>
      <c r="W68" s="553"/>
      <c r="X68" s="550" t="s">
        <v>78</v>
      </c>
      <c r="Y68" s="551"/>
      <c r="Z68" s="593"/>
      <c r="AA68" s="551"/>
      <c r="AB68" s="555"/>
      <c r="AC68" s="543"/>
      <c r="AD68" s="164"/>
      <c r="AE68" s="135"/>
      <c r="AF68" s="135"/>
      <c r="AG68" s="135"/>
    </row>
    <row r="69" spans="1:33" ht="94.5">
      <c r="A69" s="136"/>
      <c r="B69" s="504" t="s">
        <v>441</v>
      </c>
      <c r="C69" s="538"/>
      <c r="D69" s="907" t="s">
        <v>868</v>
      </c>
      <c r="E69" s="910">
        <f>'Core Block FIT rate'!L37</f>
        <v>5.6528309006554062E-2</v>
      </c>
      <c r="F69" s="538">
        <f>E69/8</f>
        <v>7.0660386258192577E-3</v>
      </c>
      <c r="G69" s="533" t="s">
        <v>1230</v>
      </c>
      <c r="H69" s="574"/>
      <c r="I69" s="594" t="s">
        <v>1277</v>
      </c>
      <c r="J69" s="531" t="s">
        <v>1407</v>
      </c>
      <c r="K69" s="531" t="s">
        <v>884</v>
      </c>
      <c r="L69" s="531"/>
      <c r="M69" s="534"/>
      <c r="N69" s="586"/>
      <c r="O69" s="536">
        <v>1</v>
      </c>
      <c r="P69" s="537" t="s">
        <v>1035</v>
      </c>
      <c r="Q69" s="538">
        <f t="shared" si="23"/>
        <v>7.0660386258192577E-3</v>
      </c>
      <c r="R69" s="537">
        <f t="shared" ref="R69:R99" si="38">IF(P69="N",100%,0%)</f>
        <v>0</v>
      </c>
      <c r="S69" s="537" t="s">
        <v>1339</v>
      </c>
      <c r="T69" s="577"/>
      <c r="U69" s="537">
        <v>0.9</v>
      </c>
      <c r="V69" s="539">
        <f t="shared" si="24"/>
        <v>7.0660386258192558E-4</v>
      </c>
      <c r="W69" s="540"/>
      <c r="X69" s="541" t="s">
        <v>1035</v>
      </c>
      <c r="Y69" s="538" t="str">
        <f>S69</f>
        <v>SM08 SM16 SM17 SM23</v>
      </c>
      <c r="Z69" s="537"/>
      <c r="AA69" s="537">
        <v>0.8</v>
      </c>
      <c r="AB69" s="542">
        <f t="shared" si="3"/>
        <v>1.2718869526474662E-3</v>
      </c>
      <c r="AC69" s="592"/>
      <c r="AD69" s="164"/>
      <c r="AE69" s="135"/>
      <c r="AF69" s="135"/>
      <c r="AG69" s="135"/>
    </row>
    <row r="70" spans="1:33" ht="94.5">
      <c r="A70" s="136"/>
      <c r="B70" s="505" t="s">
        <v>1309</v>
      </c>
      <c r="C70" s="506"/>
      <c r="D70" s="908"/>
      <c r="E70" s="911"/>
      <c r="F70" s="506">
        <f t="shared" si="30"/>
        <v>7.0660386258192577E-3</v>
      </c>
      <c r="G70" s="547" t="s">
        <v>1231</v>
      </c>
      <c r="H70" s="579"/>
      <c r="I70" s="547" t="s">
        <v>1277</v>
      </c>
      <c r="J70" s="544" t="s">
        <v>1407</v>
      </c>
      <c r="K70" s="544" t="s">
        <v>884</v>
      </c>
      <c r="L70" s="544"/>
      <c r="M70" s="548"/>
      <c r="N70" s="583"/>
      <c r="O70" s="550">
        <v>1</v>
      </c>
      <c r="P70" s="551" t="s">
        <v>1035</v>
      </c>
      <c r="Q70" s="506">
        <v>7.0736321090618098E-3</v>
      </c>
      <c r="R70" s="551">
        <v>0</v>
      </c>
      <c r="S70" s="579" t="s">
        <v>1339</v>
      </c>
      <c r="T70" s="554"/>
      <c r="U70" s="551">
        <v>0.9</v>
      </c>
      <c r="V70" s="552">
        <v>7.0736321090618078E-4</v>
      </c>
      <c r="W70" s="553"/>
      <c r="X70" s="550" t="s">
        <v>1035</v>
      </c>
      <c r="Y70" s="554" t="str">
        <f t="shared" si="2"/>
        <v>SM08 SM16 SM17 SM23</v>
      </c>
      <c r="Z70" s="506"/>
      <c r="AA70" s="551">
        <v>0.8</v>
      </c>
      <c r="AB70" s="555">
        <v>6.3662688981556276E-4</v>
      </c>
      <c r="AC70" s="592"/>
      <c r="AD70" s="164"/>
      <c r="AE70" s="135"/>
      <c r="AF70" s="135"/>
      <c r="AG70" s="135"/>
    </row>
    <row r="71" spans="1:33" ht="63">
      <c r="A71" s="136"/>
      <c r="B71" s="505" t="s">
        <v>442</v>
      </c>
      <c r="C71" s="506"/>
      <c r="D71" s="908"/>
      <c r="E71" s="911"/>
      <c r="F71" s="506">
        <f t="shared" si="30"/>
        <v>7.0660386258192577E-3</v>
      </c>
      <c r="G71" s="547" t="s">
        <v>1271</v>
      </c>
      <c r="H71" s="579"/>
      <c r="I71" s="547" t="s">
        <v>1278</v>
      </c>
      <c r="J71" s="544" t="s">
        <v>1242</v>
      </c>
      <c r="K71" s="544" t="s">
        <v>1037</v>
      </c>
      <c r="L71" s="581"/>
      <c r="M71" s="552"/>
      <c r="N71" s="583"/>
      <c r="O71" s="550">
        <v>1</v>
      </c>
      <c r="P71" s="551" t="s">
        <v>78</v>
      </c>
      <c r="Q71" s="506">
        <f t="shared" ref="Q71" si="39">F71*O71</f>
        <v>7.0660386258192577E-3</v>
      </c>
      <c r="R71" s="551">
        <f t="shared" si="38"/>
        <v>1</v>
      </c>
      <c r="S71" s="551"/>
      <c r="T71" s="551"/>
      <c r="U71" s="551"/>
      <c r="V71" s="552"/>
      <c r="W71" s="553"/>
      <c r="X71" s="550" t="s">
        <v>78</v>
      </c>
      <c r="Y71" s="551"/>
      <c r="Z71" s="593"/>
      <c r="AA71" s="551"/>
      <c r="AB71" s="555"/>
      <c r="AC71" s="543"/>
      <c r="AD71" s="164"/>
      <c r="AE71" s="135"/>
      <c r="AF71" s="135"/>
      <c r="AG71" s="135"/>
    </row>
    <row r="72" spans="1:33" ht="63">
      <c r="A72" s="136"/>
      <c r="B72" s="505" t="s">
        <v>1310</v>
      </c>
      <c r="C72" s="506"/>
      <c r="D72" s="908"/>
      <c r="E72" s="911"/>
      <c r="F72" s="506">
        <f t="shared" si="30"/>
        <v>7.0660386258192577E-3</v>
      </c>
      <c r="G72" s="547" t="s">
        <v>1274</v>
      </c>
      <c r="H72" s="579"/>
      <c r="I72" s="547" t="s">
        <v>1278</v>
      </c>
      <c r="J72" s="544" t="s">
        <v>1242</v>
      </c>
      <c r="K72" s="544" t="s">
        <v>1037</v>
      </c>
      <c r="L72" s="581"/>
      <c r="M72" s="552"/>
      <c r="N72" s="583"/>
      <c r="O72" s="550">
        <v>1</v>
      </c>
      <c r="P72" s="551" t="s">
        <v>78</v>
      </c>
      <c r="Q72" s="506">
        <f t="shared" ref="Q72:Q73" si="40">F72*O72</f>
        <v>7.0660386258192577E-3</v>
      </c>
      <c r="R72" s="551">
        <f t="shared" si="38"/>
        <v>1</v>
      </c>
      <c r="S72" s="551"/>
      <c r="T72" s="551"/>
      <c r="U72" s="551"/>
      <c r="V72" s="552"/>
      <c r="W72" s="553"/>
      <c r="X72" s="550" t="s">
        <v>78</v>
      </c>
      <c r="Y72" s="551"/>
      <c r="Z72" s="593"/>
      <c r="AA72" s="551"/>
      <c r="AB72" s="555"/>
      <c r="AC72" s="543"/>
      <c r="AD72" s="164"/>
      <c r="AE72" s="135"/>
      <c r="AF72" s="135"/>
      <c r="AG72" s="135"/>
    </row>
    <row r="73" spans="1:33" ht="63">
      <c r="A73" s="136"/>
      <c r="B73" s="505" t="s">
        <v>443</v>
      </c>
      <c r="C73" s="506"/>
      <c r="D73" s="908"/>
      <c r="E73" s="911"/>
      <c r="F73" s="506">
        <f t="shared" si="30"/>
        <v>7.0660386258192577E-3</v>
      </c>
      <c r="G73" s="547" t="s">
        <v>1272</v>
      </c>
      <c r="H73" s="579"/>
      <c r="I73" s="547" t="s">
        <v>1278</v>
      </c>
      <c r="J73" s="544" t="s">
        <v>1242</v>
      </c>
      <c r="K73" s="544" t="s">
        <v>1037</v>
      </c>
      <c r="L73" s="544"/>
      <c r="M73" s="548"/>
      <c r="N73" s="583"/>
      <c r="O73" s="550">
        <v>1</v>
      </c>
      <c r="P73" s="551" t="s">
        <v>78</v>
      </c>
      <c r="Q73" s="506">
        <f t="shared" si="40"/>
        <v>7.0660386258192577E-3</v>
      </c>
      <c r="R73" s="551">
        <f t="shared" ref="R73" si="41">IF(P73="N",100%,0%)</f>
        <v>1</v>
      </c>
      <c r="S73" s="551"/>
      <c r="T73" s="551"/>
      <c r="U73" s="551"/>
      <c r="V73" s="552"/>
      <c r="W73" s="553"/>
      <c r="X73" s="550" t="s">
        <v>78</v>
      </c>
      <c r="Y73" s="551"/>
      <c r="Z73" s="593"/>
      <c r="AA73" s="551"/>
      <c r="AB73" s="555"/>
      <c r="AC73" s="543"/>
      <c r="AD73" s="164"/>
      <c r="AE73" s="135"/>
      <c r="AF73" s="135"/>
      <c r="AG73" s="135"/>
    </row>
    <row r="74" spans="1:33" ht="63">
      <c r="A74" s="136"/>
      <c r="B74" s="505" t="s">
        <v>444</v>
      </c>
      <c r="C74" s="506"/>
      <c r="D74" s="908"/>
      <c r="E74" s="911"/>
      <c r="F74" s="506">
        <f>F72</f>
        <v>7.0660386258192577E-3</v>
      </c>
      <c r="G74" s="547" t="s">
        <v>1273</v>
      </c>
      <c r="H74" s="579"/>
      <c r="I74" s="547" t="s">
        <v>1278</v>
      </c>
      <c r="J74" s="544" t="s">
        <v>1242</v>
      </c>
      <c r="K74" s="544" t="s">
        <v>1037</v>
      </c>
      <c r="L74" s="581"/>
      <c r="M74" s="552"/>
      <c r="N74" s="583"/>
      <c r="O74" s="550">
        <v>1</v>
      </c>
      <c r="P74" s="551" t="s">
        <v>78</v>
      </c>
      <c r="Q74" s="506">
        <f t="shared" ref="Q74" si="42">F74*O74</f>
        <v>7.0660386258192577E-3</v>
      </c>
      <c r="R74" s="551">
        <f t="shared" si="38"/>
        <v>1</v>
      </c>
      <c r="S74" s="551"/>
      <c r="T74" s="551"/>
      <c r="U74" s="551"/>
      <c r="V74" s="552"/>
      <c r="W74" s="553"/>
      <c r="X74" s="550" t="s">
        <v>78</v>
      </c>
      <c r="Y74" s="551"/>
      <c r="Z74" s="593"/>
      <c r="AA74" s="551"/>
      <c r="AB74" s="555"/>
      <c r="AC74" s="543"/>
      <c r="AD74" s="164"/>
      <c r="AE74" s="135"/>
      <c r="AF74" s="135"/>
      <c r="AG74" s="135"/>
    </row>
    <row r="75" spans="1:33" ht="63">
      <c r="A75" s="136"/>
      <c r="B75" s="505" t="s">
        <v>445</v>
      </c>
      <c r="C75" s="506"/>
      <c r="D75" s="908"/>
      <c r="E75" s="911"/>
      <c r="F75" s="506">
        <f>F73</f>
        <v>7.0660386258192577E-3</v>
      </c>
      <c r="G75" s="547" t="s">
        <v>1275</v>
      </c>
      <c r="H75" s="579"/>
      <c r="I75" s="547" t="s">
        <v>1278</v>
      </c>
      <c r="J75" s="544" t="s">
        <v>1242</v>
      </c>
      <c r="K75" s="544" t="s">
        <v>1037</v>
      </c>
      <c r="L75" s="581"/>
      <c r="M75" s="552"/>
      <c r="N75" s="583"/>
      <c r="O75" s="550">
        <v>1</v>
      </c>
      <c r="P75" s="551" t="s">
        <v>78</v>
      </c>
      <c r="Q75" s="506">
        <f t="shared" ref="Q75" si="43">F75*O75</f>
        <v>7.0660386258192577E-3</v>
      </c>
      <c r="R75" s="551">
        <f t="shared" ref="R75" si="44">IF(P75="N",100%,0%)</f>
        <v>1</v>
      </c>
      <c r="S75" s="551"/>
      <c r="T75" s="551"/>
      <c r="U75" s="551"/>
      <c r="V75" s="552"/>
      <c r="W75" s="553"/>
      <c r="X75" s="550" t="s">
        <v>78</v>
      </c>
      <c r="Y75" s="551"/>
      <c r="Z75" s="593"/>
      <c r="AA75" s="551"/>
      <c r="AB75" s="555"/>
      <c r="AC75" s="543"/>
      <c r="AD75" s="164"/>
      <c r="AE75" s="135"/>
      <c r="AF75" s="135"/>
      <c r="AG75" s="135"/>
    </row>
    <row r="76" spans="1:33" ht="16.5" thickBot="1">
      <c r="A76" s="136"/>
      <c r="B76" s="529" t="s">
        <v>446</v>
      </c>
      <c r="C76" s="595"/>
      <c r="D76" s="908"/>
      <c r="E76" s="911"/>
      <c r="F76" s="595">
        <f t="shared" si="30"/>
        <v>7.0660386258192577E-3</v>
      </c>
      <c r="G76" s="596" t="s">
        <v>1276</v>
      </c>
      <c r="H76" s="597"/>
      <c r="I76" s="596" t="s">
        <v>1242</v>
      </c>
      <c r="J76" s="598" t="s">
        <v>1242</v>
      </c>
      <c r="K76" s="598" t="s">
        <v>1037</v>
      </c>
      <c r="L76" s="599"/>
      <c r="M76" s="600"/>
      <c r="N76" s="601"/>
      <c r="O76" s="602">
        <v>1</v>
      </c>
      <c r="P76" s="603" t="s">
        <v>78</v>
      </c>
      <c r="Q76" s="595">
        <f t="shared" si="23"/>
        <v>7.0660386258192577E-3</v>
      </c>
      <c r="R76" s="603">
        <f t="shared" si="38"/>
        <v>1</v>
      </c>
      <c r="S76" s="603"/>
      <c r="T76" s="603"/>
      <c r="U76" s="603"/>
      <c r="V76" s="600"/>
      <c r="W76" s="604"/>
      <c r="X76" s="602" t="s">
        <v>78</v>
      </c>
      <c r="Y76" s="603"/>
      <c r="Z76" s="605"/>
      <c r="AA76" s="603"/>
      <c r="AB76" s="606"/>
      <c r="AC76" s="543"/>
      <c r="AD76" s="164"/>
      <c r="AE76" s="135"/>
      <c r="AF76" s="135"/>
      <c r="AG76" s="135"/>
    </row>
    <row r="77" spans="1:33" ht="31.5">
      <c r="A77" s="136"/>
      <c r="B77" s="504" t="s">
        <v>447</v>
      </c>
      <c r="C77" s="538"/>
      <c r="D77" s="907" t="s">
        <v>869</v>
      </c>
      <c r="E77" s="910">
        <f>'Core Block FIT rate'!L38</f>
        <v>0.42832188829425843</v>
      </c>
      <c r="F77" s="538">
        <f>E77/6</f>
        <v>7.138698138237641E-2</v>
      </c>
      <c r="G77" s="533" t="s">
        <v>1243</v>
      </c>
      <c r="H77" s="532"/>
      <c r="I77" s="533" t="s">
        <v>1223</v>
      </c>
      <c r="J77" s="531" t="s">
        <v>1326</v>
      </c>
      <c r="K77" s="531" t="s">
        <v>884</v>
      </c>
      <c r="L77" s="531"/>
      <c r="M77" s="534"/>
      <c r="N77" s="586"/>
      <c r="O77" s="536">
        <v>1</v>
      </c>
      <c r="P77" s="537" t="s">
        <v>1035</v>
      </c>
      <c r="Q77" s="538">
        <f t="shared" si="23"/>
        <v>7.138698138237641E-2</v>
      </c>
      <c r="R77" s="537">
        <f t="shared" si="38"/>
        <v>0</v>
      </c>
      <c r="S77" s="532"/>
      <c r="T77" s="577"/>
      <c r="U77" s="537">
        <v>0</v>
      </c>
      <c r="V77" s="539">
        <f t="shared" ref="V77:V85" si="45">IF(P77="N",0,Q77*(1-R77)*(1-U77))</f>
        <v>7.138698138237641E-2</v>
      </c>
      <c r="W77" s="540"/>
      <c r="X77" s="541" t="s">
        <v>1035</v>
      </c>
      <c r="Y77" s="538"/>
      <c r="Z77" s="538"/>
      <c r="AA77" s="537">
        <v>0</v>
      </c>
      <c r="AB77" s="542">
        <f t="shared" si="3"/>
        <v>0</v>
      </c>
      <c r="AC77" s="592"/>
      <c r="AD77" s="164"/>
      <c r="AE77" s="135"/>
      <c r="AF77" s="135"/>
      <c r="AG77" s="135"/>
    </row>
    <row r="78" spans="1:33" ht="31.5">
      <c r="A78" s="136"/>
      <c r="B78" s="505" t="s">
        <v>448</v>
      </c>
      <c r="C78" s="506"/>
      <c r="D78" s="908"/>
      <c r="E78" s="911"/>
      <c r="F78" s="506">
        <f t="shared" si="30"/>
        <v>7.138698138237641E-2</v>
      </c>
      <c r="G78" s="547" t="s">
        <v>1279</v>
      </c>
      <c r="H78" s="579"/>
      <c r="I78" s="547" t="s">
        <v>1355</v>
      </c>
      <c r="J78" s="544" t="s">
        <v>1407</v>
      </c>
      <c r="K78" s="544" t="s">
        <v>884</v>
      </c>
      <c r="L78" s="544"/>
      <c r="M78" s="548"/>
      <c r="N78" s="583"/>
      <c r="O78" s="550">
        <v>1</v>
      </c>
      <c r="P78" s="551" t="s">
        <v>1035</v>
      </c>
      <c r="Q78" s="506">
        <f t="shared" si="23"/>
        <v>7.138698138237641E-2</v>
      </c>
      <c r="R78" s="551">
        <f t="shared" si="38"/>
        <v>0</v>
      </c>
      <c r="S78" s="579" t="s">
        <v>1356</v>
      </c>
      <c r="T78" s="554"/>
      <c r="U78" s="551">
        <v>0.99</v>
      </c>
      <c r="V78" s="552">
        <f t="shared" si="45"/>
        <v>7.1386981382376479E-4</v>
      </c>
      <c r="W78" s="553"/>
      <c r="X78" s="550" t="s">
        <v>1035</v>
      </c>
      <c r="Y78" s="554" t="str">
        <f t="shared" si="2"/>
        <v xml:space="preserve"> SM14 SM22</v>
      </c>
      <c r="Z78" s="551"/>
      <c r="AA78" s="551">
        <v>0.8</v>
      </c>
      <c r="AB78" s="555">
        <f t="shared" si="3"/>
        <v>1.4134622313710526E-2</v>
      </c>
      <c r="AC78" s="592"/>
      <c r="AD78" s="164"/>
      <c r="AE78" s="135"/>
      <c r="AF78" s="135"/>
      <c r="AG78" s="135"/>
    </row>
    <row r="79" spans="1:33" ht="15.75">
      <c r="A79" s="136"/>
      <c r="B79" s="505" t="s">
        <v>449</v>
      </c>
      <c r="C79" s="506"/>
      <c r="D79" s="908"/>
      <c r="E79" s="911"/>
      <c r="F79" s="506">
        <f t="shared" si="30"/>
        <v>7.138698138237641E-2</v>
      </c>
      <c r="G79" s="547" t="s">
        <v>1220</v>
      </c>
      <c r="H79" s="579"/>
      <c r="I79" s="547" t="s">
        <v>1242</v>
      </c>
      <c r="J79" s="544" t="s">
        <v>1242</v>
      </c>
      <c r="K79" s="544" t="s">
        <v>1037</v>
      </c>
      <c r="L79" s="581"/>
      <c r="M79" s="552"/>
      <c r="N79" s="583"/>
      <c r="O79" s="550">
        <v>1</v>
      </c>
      <c r="P79" s="551" t="s">
        <v>78</v>
      </c>
      <c r="Q79" s="506">
        <f t="shared" ref="Q79:Q82" si="46">F79*O79</f>
        <v>7.138698138237641E-2</v>
      </c>
      <c r="R79" s="551">
        <f t="shared" si="38"/>
        <v>1</v>
      </c>
      <c r="S79" s="551"/>
      <c r="T79" s="551"/>
      <c r="U79" s="551"/>
      <c r="V79" s="552"/>
      <c r="W79" s="553"/>
      <c r="X79" s="550" t="s">
        <v>78</v>
      </c>
      <c r="Y79" s="551"/>
      <c r="Z79" s="593"/>
      <c r="AA79" s="551"/>
      <c r="AB79" s="555"/>
      <c r="AC79" s="543"/>
      <c r="AD79" s="164"/>
      <c r="AE79" s="135"/>
      <c r="AF79" s="135"/>
      <c r="AG79" s="135"/>
    </row>
    <row r="80" spans="1:33" ht="15.75">
      <c r="A80" s="136"/>
      <c r="B80" s="505" t="s">
        <v>450</v>
      </c>
      <c r="C80" s="506"/>
      <c r="D80" s="908"/>
      <c r="E80" s="911"/>
      <c r="F80" s="506">
        <f t="shared" si="30"/>
        <v>7.138698138237641E-2</v>
      </c>
      <c r="G80" s="547" t="s">
        <v>1222</v>
      </c>
      <c r="H80" s="579"/>
      <c r="I80" s="547" t="s">
        <v>1242</v>
      </c>
      <c r="J80" s="544" t="s">
        <v>1242</v>
      </c>
      <c r="K80" s="544" t="s">
        <v>1037</v>
      </c>
      <c r="L80" s="581"/>
      <c r="M80" s="552"/>
      <c r="N80" s="583"/>
      <c r="O80" s="550">
        <v>1</v>
      </c>
      <c r="P80" s="551" t="s">
        <v>78</v>
      </c>
      <c r="Q80" s="506">
        <f t="shared" si="46"/>
        <v>7.138698138237641E-2</v>
      </c>
      <c r="R80" s="551">
        <f t="shared" si="38"/>
        <v>1</v>
      </c>
      <c r="S80" s="551"/>
      <c r="T80" s="551"/>
      <c r="U80" s="551"/>
      <c r="V80" s="552"/>
      <c r="W80" s="553"/>
      <c r="X80" s="550" t="s">
        <v>78</v>
      </c>
      <c r="Y80" s="551"/>
      <c r="Z80" s="593"/>
      <c r="AA80" s="551"/>
      <c r="AB80" s="555"/>
      <c r="AC80" s="543"/>
      <c r="AD80" s="164"/>
      <c r="AE80" s="135"/>
      <c r="AF80" s="135"/>
      <c r="AG80" s="135"/>
    </row>
    <row r="81" spans="1:33" ht="15.75">
      <c r="A81" s="136"/>
      <c r="B81" s="505" t="s">
        <v>451</v>
      </c>
      <c r="C81" s="506"/>
      <c r="D81" s="908"/>
      <c r="E81" s="911"/>
      <c r="F81" s="506">
        <f t="shared" si="30"/>
        <v>7.138698138237641E-2</v>
      </c>
      <c r="G81" s="547" t="s">
        <v>1221</v>
      </c>
      <c r="H81" s="579"/>
      <c r="I81" s="547" t="s">
        <v>1242</v>
      </c>
      <c r="J81" s="544" t="s">
        <v>1242</v>
      </c>
      <c r="K81" s="544" t="s">
        <v>1037</v>
      </c>
      <c r="L81" s="581"/>
      <c r="M81" s="552"/>
      <c r="N81" s="583"/>
      <c r="O81" s="550">
        <v>1</v>
      </c>
      <c r="P81" s="551" t="s">
        <v>78</v>
      </c>
      <c r="Q81" s="506">
        <f t="shared" si="46"/>
        <v>7.138698138237641E-2</v>
      </c>
      <c r="R81" s="551">
        <f t="shared" si="38"/>
        <v>1</v>
      </c>
      <c r="S81" s="551"/>
      <c r="T81" s="551"/>
      <c r="U81" s="551"/>
      <c r="V81" s="552"/>
      <c r="W81" s="553"/>
      <c r="X81" s="550" t="s">
        <v>78</v>
      </c>
      <c r="Y81" s="551"/>
      <c r="Z81" s="593"/>
      <c r="AA81" s="551"/>
      <c r="AB81" s="555"/>
      <c r="AC81" s="543"/>
      <c r="AD81" s="164"/>
      <c r="AE81" s="135"/>
      <c r="AF81" s="135"/>
      <c r="AG81" s="135"/>
    </row>
    <row r="82" spans="1:33" ht="16.5" thickBot="1">
      <c r="A82" s="136"/>
      <c r="B82" s="515" t="s">
        <v>452</v>
      </c>
      <c r="C82" s="568"/>
      <c r="D82" s="909"/>
      <c r="E82" s="912"/>
      <c r="F82" s="568">
        <f t="shared" si="30"/>
        <v>7.138698138237641E-2</v>
      </c>
      <c r="G82" s="563" t="s">
        <v>1246</v>
      </c>
      <c r="H82" s="569"/>
      <c r="I82" s="563" t="s">
        <v>1242</v>
      </c>
      <c r="J82" s="559" t="s">
        <v>1242</v>
      </c>
      <c r="K82" s="559" t="s">
        <v>1037</v>
      </c>
      <c r="L82" s="607"/>
      <c r="M82" s="570"/>
      <c r="N82" s="608"/>
      <c r="O82" s="566">
        <v>1</v>
      </c>
      <c r="P82" s="567" t="s">
        <v>78</v>
      </c>
      <c r="Q82" s="568">
        <f t="shared" si="46"/>
        <v>7.138698138237641E-2</v>
      </c>
      <c r="R82" s="567">
        <f t="shared" si="38"/>
        <v>1</v>
      </c>
      <c r="S82" s="567"/>
      <c r="T82" s="567"/>
      <c r="U82" s="567"/>
      <c r="V82" s="570"/>
      <c r="W82" s="571"/>
      <c r="X82" s="566" t="s">
        <v>78</v>
      </c>
      <c r="Y82" s="567"/>
      <c r="Z82" s="609"/>
      <c r="AA82" s="567"/>
      <c r="AB82" s="573"/>
      <c r="AC82" s="543"/>
      <c r="AD82" s="164"/>
      <c r="AE82" s="135"/>
      <c r="AF82" s="135"/>
      <c r="AG82" s="135"/>
    </row>
    <row r="83" spans="1:33" ht="63">
      <c r="A83" s="136"/>
      <c r="B83" s="504" t="s">
        <v>453</v>
      </c>
      <c r="C83" s="538"/>
      <c r="D83" s="907" t="s">
        <v>870</v>
      </c>
      <c r="E83" s="910">
        <f>'Core Block FIT rate'!L39</f>
        <v>0.66109668567923896</v>
      </c>
      <c r="F83" s="538">
        <f>E83/3</f>
        <v>0.22036556189307965</v>
      </c>
      <c r="G83" s="533" t="s">
        <v>1216</v>
      </c>
      <c r="H83" s="610"/>
      <c r="I83" s="533" t="s">
        <v>1350</v>
      </c>
      <c r="J83" s="531" t="s">
        <v>1402</v>
      </c>
      <c r="K83" s="531" t="s">
        <v>884</v>
      </c>
      <c r="L83" s="531"/>
      <c r="M83" s="534"/>
      <c r="N83" s="586"/>
      <c r="O83" s="536">
        <v>1</v>
      </c>
      <c r="P83" s="537" t="s">
        <v>1035</v>
      </c>
      <c r="Q83" s="538">
        <f t="shared" si="23"/>
        <v>0.22036556189307965</v>
      </c>
      <c r="R83" s="537">
        <v>0</v>
      </c>
      <c r="S83" s="532" t="s">
        <v>1399</v>
      </c>
      <c r="T83" s="577"/>
      <c r="U83" s="537">
        <f t="shared" ref="U83:U99" si="47">IF(P83="N",0%,99%)</f>
        <v>0.99</v>
      </c>
      <c r="V83" s="539">
        <f t="shared" si="45"/>
        <v>2.2036556189307987E-3</v>
      </c>
      <c r="W83" s="540"/>
      <c r="X83" s="541" t="s">
        <v>1035</v>
      </c>
      <c r="Y83" s="538" t="str">
        <f>S83</f>
        <v>SM10 SM11 SM12 SM18</v>
      </c>
      <c r="Z83" s="591"/>
      <c r="AA83" s="537">
        <v>0.8</v>
      </c>
      <c r="AB83" s="542">
        <f t="shared" si="3"/>
        <v>4.3632381254829759E-2</v>
      </c>
      <c r="AC83" s="592"/>
      <c r="AD83" s="164"/>
      <c r="AE83" s="135"/>
      <c r="AF83" s="135"/>
      <c r="AG83" s="135"/>
    </row>
    <row r="84" spans="1:33" ht="63">
      <c r="A84" s="136"/>
      <c r="B84" s="505" t="s">
        <v>454</v>
      </c>
      <c r="C84" s="506"/>
      <c r="D84" s="908"/>
      <c r="E84" s="911"/>
      <c r="F84" s="506">
        <f>F83</f>
        <v>0.22036556189307965</v>
      </c>
      <c r="G84" s="547" t="s">
        <v>1217</v>
      </c>
      <c r="H84" s="611"/>
      <c r="I84" s="547" t="s">
        <v>1350</v>
      </c>
      <c r="J84" s="544" t="s">
        <v>1402</v>
      </c>
      <c r="K84" s="544" t="s">
        <v>884</v>
      </c>
      <c r="L84" s="544"/>
      <c r="M84" s="548"/>
      <c r="N84" s="583"/>
      <c r="O84" s="550">
        <v>1</v>
      </c>
      <c r="P84" s="551" t="s">
        <v>1035</v>
      </c>
      <c r="Q84" s="506">
        <f t="shared" ref="Q84:Q103" si="48">F84*O84</f>
        <v>0.22036556189307965</v>
      </c>
      <c r="R84" s="612">
        <f t="shared" si="38"/>
        <v>0</v>
      </c>
      <c r="S84" s="579" t="s">
        <v>1399</v>
      </c>
      <c r="T84" s="554"/>
      <c r="U84" s="551">
        <f t="shared" si="47"/>
        <v>0.99</v>
      </c>
      <c r="V84" s="552">
        <f t="shared" si="45"/>
        <v>2.2036556189307987E-3</v>
      </c>
      <c r="W84" s="553"/>
      <c r="X84" s="550" t="s">
        <v>1035</v>
      </c>
      <c r="Y84" s="554" t="str">
        <f>S84</f>
        <v>SM10 SM11 SM12 SM18</v>
      </c>
      <c r="Z84" s="593"/>
      <c r="AA84" s="551">
        <v>0.8</v>
      </c>
      <c r="AB84" s="555">
        <f t="shared" si="3"/>
        <v>4.3632381254829759E-2</v>
      </c>
      <c r="AC84" s="592"/>
      <c r="AD84" s="164"/>
      <c r="AE84" s="135"/>
      <c r="AF84" s="135"/>
      <c r="AG84" s="135"/>
    </row>
    <row r="85" spans="1:33" ht="63.75" thickBot="1">
      <c r="A85" s="136"/>
      <c r="B85" s="515" t="s">
        <v>455</v>
      </c>
      <c r="C85" s="568"/>
      <c r="D85" s="909"/>
      <c r="E85" s="912"/>
      <c r="F85" s="568">
        <f t="shared" ref="F85" si="49">F84</f>
        <v>0.22036556189307965</v>
      </c>
      <c r="G85" s="563" t="s">
        <v>1349</v>
      </c>
      <c r="H85" s="613"/>
      <c r="I85" s="563" t="s">
        <v>1350</v>
      </c>
      <c r="J85" s="559" t="s">
        <v>1402</v>
      </c>
      <c r="K85" s="559" t="s">
        <v>884</v>
      </c>
      <c r="L85" s="559"/>
      <c r="M85" s="564"/>
      <c r="N85" s="608"/>
      <c r="O85" s="566">
        <v>1</v>
      </c>
      <c r="P85" s="567" t="s">
        <v>1035</v>
      </c>
      <c r="Q85" s="568">
        <f t="shared" si="48"/>
        <v>0.22036556189307965</v>
      </c>
      <c r="R85" s="551">
        <f t="shared" si="38"/>
        <v>0</v>
      </c>
      <c r="S85" s="569" t="s">
        <v>1399</v>
      </c>
      <c r="T85" s="572"/>
      <c r="U85" s="567">
        <v>0.99</v>
      </c>
      <c r="V85" s="570">
        <f t="shared" si="45"/>
        <v>2.2036556189307987E-3</v>
      </c>
      <c r="W85" s="571"/>
      <c r="X85" s="566" t="s">
        <v>1035</v>
      </c>
      <c r="Y85" s="572" t="str">
        <f>S85</f>
        <v>SM10 SM11 SM12 SM18</v>
      </c>
      <c r="Z85" s="609"/>
      <c r="AA85" s="567">
        <v>0.8</v>
      </c>
      <c r="AB85" s="573">
        <f t="shared" ref="AB85:AB99" si="50">IF(X85="N",0,(Q85*(1-R85)-V85)*(1-AA85))</f>
        <v>4.3632381254829759E-2</v>
      </c>
      <c r="AC85" s="592"/>
      <c r="AD85" s="164"/>
      <c r="AE85" s="135"/>
      <c r="AF85" s="135"/>
      <c r="AG85" s="135"/>
    </row>
    <row r="86" spans="1:33" ht="15.75">
      <c r="A86" s="136"/>
      <c r="B86" s="504" t="s">
        <v>456</v>
      </c>
      <c r="C86" s="538"/>
      <c r="D86" s="907" t="s">
        <v>871</v>
      </c>
      <c r="E86" s="910">
        <f>'Core Block FIT rate'!L40</f>
        <v>1.6656365140797144E-2</v>
      </c>
      <c r="F86" s="538">
        <f>E86/8</f>
        <v>2.082045642599643E-3</v>
      </c>
      <c r="G86" s="533" t="s">
        <v>1341</v>
      </c>
      <c r="H86" s="594"/>
      <c r="I86" s="594" t="s">
        <v>1340</v>
      </c>
      <c r="J86" s="531" t="s">
        <v>1401</v>
      </c>
      <c r="K86" s="531" t="s">
        <v>1037</v>
      </c>
      <c r="L86" s="614"/>
      <c r="M86" s="615"/>
      <c r="N86" s="616"/>
      <c r="O86" s="536">
        <v>1</v>
      </c>
      <c r="P86" s="610" t="s">
        <v>78</v>
      </c>
      <c r="Q86" s="538">
        <v>0</v>
      </c>
      <c r="R86" s="577">
        <v>1</v>
      </c>
      <c r="S86" s="538"/>
      <c r="T86" s="577"/>
      <c r="U86" s="577">
        <v>0</v>
      </c>
      <c r="V86" s="617">
        <v>0</v>
      </c>
      <c r="W86" s="618"/>
      <c r="X86" s="619" t="s">
        <v>78</v>
      </c>
      <c r="Y86" s="537"/>
      <c r="Z86" s="591"/>
      <c r="AA86" s="577">
        <v>0</v>
      </c>
      <c r="AB86" s="542">
        <v>0</v>
      </c>
      <c r="AC86" s="592"/>
      <c r="AD86" s="164"/>
      <c r="AE86" s="135"/>
      <c r="AF86" s="135"/>
      <c r="AG86" s="135"/>
    </row>
    <row r="87" spans="1:33" ht="15.75">
      <c r="A87" s="136"/>
      <c r="B87" s="505" t="s">
        <v>457</v>
      </c>
      <c r="C87" s="506"/>
      <c r="D87" s="908"/>
      <c r="E87" s="911"/>
      <c r="F87" s="506">
        <f t="shared" ref="F87:F121" si="51">F86</f>
        <v>2.082045642599643E-3</v>
      </c>
      <c r="G87" s="547" t="s">
        <v>1342</v>
      </c>
      <c r="H87" s="620"/>
      <c r="I87" s="547" t="s">
        <v>1340</v>
      </c>
      <c r="J87" s="544" t="s">
        <v>1401</v>
      </c>
      <c r="K87" s="544" t="s">
        <v>1037</v>
      </c>
      <c r="L87" s="621"/>
      <c r="M87" s="622"/>
      <c r="N87" s="623"/>
      <c r="O87" s="550">
        <v>1</v>
      </c>
      <c r="P87" s="611" t="s">
        <v>78</v>
      </c>
      <c r="Q87" s="506">
        <v>0</v>
      </c>
      <c r="R87" s="554">
        <v>1</v>
      </c>
      <c r="S87" s="506"/>
      <c r="T87" s="554"/>
      <c r="U87" s="554">
        <v>0</v>
      </c>
      <c r="V87" s="624">
        <v>0</v>
      </c>
      <c r="W87" s="625"/>
      <c r="X87" s="626" t="s">
        <v>78</v>
      </c>
      <c r="Y87" s="551"/>
      <c r="Z87" s="593"/>
      <c r="AA87" s="554">
        <v>0</v>
      </c>
      <c r="AB87" s="555">
        <v>0</v>
      </c>
      <c r="AC87" s="592"/>
      <c r="AD87" s="164"/>
      <c r="AE87" s="135"/>
      <c r="AF87" s="135"/>
      <c r="AG87" s="135"/>
    </row>
    <row r="88" spans="1:33" ht="15.75">
      <c r="A88" s="136"/>
      <c r="B88" s="505" t="s">
        <v>458</v>
      </c>
      <c r="C88" s="506"/>
      <c r="D88" s="908"/>
      <c r="E88" s="911"/>
      <c r="F88" s="506">
        <f t="shared" si="51"/>
        <v>2.082045642599643E-3</v>
      </c>
      <c r="G88" s="547" t="s">
        <v>1343</v>
      </c>
      <c r="H88" s="620"/>
      <c r="I88" s="547" t="s">
        <v>1340</v>
      </c>
      <c r="J88" s="544" t="s">
        <v>1401</v>
      </c>
      <c r="K88" s="544" t="s">
        <v>1037</v>
      </c>
      <c r="L88" s="621"/>
      <c r="M88" s="622"/>
      <c r="N88" s="623"/>
      <c r="O88" s="550">
        <v>1</v>
      </c>
      <c r="P88" s="611" t="s">
        <v>78</v>
      </c>
      <c r="Q88" s="506">
        <v>0</v>
      </c>
      <c r="R88" s="554">
        <v>1</v>
      </c>
      <c r="S88" s="506"/>
      <c r="T88" s="554"/>
      <c r="U88" s="554">
        <v>0</v>
      </c>
      <c r="V88" s="624">
        <v>0</v>
      </c>
      <c r="W88" s="625"/>
      <c r="X88" s="626" t="s">
        <v>78</v>
      </c>
      <c r="Y88" s="551"/>
      <c r="Z88" s="593"/>
      <c r="AA88" s="554">
        <v>0</v>
      </c>
      <c r="AB88" s="555">
        <v>0</v>
      </c>
      <c r="AC88" s="592"/>
      <c r="AD88" s="164"/>
      <c r="AE88" s="135"/>
      <c r="AF88" s="135"/>
      <c r="AG88" s="135"/>
    </row>
    <row r="89" spans="1:33" ht="15.75">
      <c r="A89" s="136"/>
      <c r="B89" s="505" t="s">
        <v>459</v>
      </c>
      <c r="C89" s="506"/>
      <c r="D89" s="908"/>
      <c r="E89" s="911"/>
      <c r="F89" s="506">
        <f t="shared" si="51"/>
        <v>2.082045642599643E-3</v>
      </c>
      <c r="G89" s="547" t="s">
        <v>1344</v>
      </c>
      <c r="H89" s="620"/>
      <c r="I89" s="547" t="s">
        <v>1340</v>
      </c>
      <c r="J89" s="544" t="s">
        <v>1401</v>
      </c>
      <c r="K89" s="544" t="s">
        <v>1037</v>
      </c>
      <c r="L89" s="621"/>
      <c r="M89" s="622"/>
      <c r="N89" s="623"/>
      <c r="O89" s="550">
        <v>1</v>
      </c>
      <c r="P89" s="611" t="s">
        <v>78</v>
      </c>
      <c r="Q89" s="506">
        <v>0</v>
      </c>
      <c r="R89" s="554">
        <v>1</v>
      </c>
      <c r="S89" s="506"/>
      <c r="T89" s="554"/>
      <c r="U89" s="554">
        <v>0</v>
      </c>
      <c r="V89" s="624">
        <v>0</v>
      </c>
      <c r="W89" s="625"/>
      <c r="X89" s="626" t="s">
        <v>78</v>
      </c>
      <c r="Y89" s="551"/>
      <c r="Z89" s="593"/>
      <c r="AA89" s="554">
        <v>0</v>
      </c>
      <c r="AB89" s="555">
        <v>0</v>
      </c>
      <c r="AC89" s="592"/>
      <c r="AD89" s="164"/>
      <c r="AE89" s="135"/>
      <c r="AF89" s="135"/>
      <c r="AG89" s="135"/>
    </row>
    <row r="90" spans="1:33" ht="15.75">
      <c r="A90" s="136"/>
      <c r="B90" s="505" t="s">
        <v>460</v>
      </c>
      <c r="C90" s="506"/>
      <c r="D90" s="908"/>
      <c r="E90" s="911"/>
      <c r="F90" s="506">
        <f t="shared" si="51"/>
        <v>2.082045642599643E-3</v>
      </c>
      <c r="G90" s="547" t="s">
        <v>1345</v>
      </c>
      <c r="H90" s="620"/>
      <c r="I90" s="547" t="s">
        <v>1340</v>
      </c>
      <c r="J90" s="544" t="s">
        <v>1401</v>
      </c>
      <c r="K90" s="544" t="s">
        <v>1037</v>
      </c>
      <c r="L90" s="621"/>
      <c r="M90" s="622"/>
      <c r="N90" s="623"/>
      <c r="O90" s="550">
        <v>1</v>
      </c>
      <c r="P90" s="611" t="s">
        <v>78</v>
      </c>
      <c r="Q90" s="506">
        <v>0</v>
      </c>
      <c r="R90" s="554">
        <v>1</v>
      </c>
      <c r="S90" s="506"/>
      <c r="T90" s="554"/>
      <c r="U90" s="554">
        <v>0</v>
      </c>
      <c r="V90" s="624">
        <v>0</v>
      </c>
      <c r="W90" s="625"/>
      <c r="X90" s="626" t="s">
        <v>78</v>
      </c>
      <c r="Y90" s="551"/>
      <c r="Z90" s="593"/>
      <c r="AA90" s="554">
        <v>0</v>
      </c>
      <c r="AB90" s="555">
        <v>0</v>
      </c>
      <c r="AC90" s="592"/>
      <c r="AD90" s="164"/>
      <c r="AE90" s="135"/>
      <c r="AF90" s="135"/>
      <c r="AG90" s="135"/>
    </row>
    <row r="91" spans="1:33" ht="15.75">
      <c r="A91" s="136"/>
      <c r="B91" s="505" t="s">
        <v>461</v>
      </c>
      <c r="C91" s="506"/>
      <c r="D91" s="908"/>
      <c r="E91" s="911"/>
      <c r="F91" s="506">
        <f t="shared" si="51"/>
        <v>2.082045642599643E-3</v>
      </c>
      <c r="G91" s="547" t="s">
        <v>1346</v>
      </c>
      <c r="H91" s="620"/>
      <c r="I91" s="547" t="s">
        <v>1340</v>
      </c>
      <c r="J91" s="544" t="s">
        <v>1401</v>
      </c>
      <c r="K91" s="544" t="s">
        <v>1037</v>
      </c>
      <c r="L91" s="621"/>
      <c r="M91" s="622"/>
      <c r="N91" s="623"/>
      <c r="O91" s="550">
        <v>1</v>
      </c>
      <c r="P91" s="611" t="s">
        <v>78</v>
      </c>
      <c r="Q91" s="506">
        <v>0</v>
      </c>
      <c r="R91" s="554">
        <v>1</v>
      </c>
      <c r="S91" s="506"/>
      <c r="T91" s="554"/>
      <c r="U91" s="554">
        <v>0</v>
      </c>
      <c r="V91" s="624">
        <v>0</v>
      </c>
      <c r="W91" s="625"/>
      <c r="X91" s="626" t="s">
        <v>78</v>
      </c>
      <c r="Y91" s="551"/>
      <c r="Z91" s="593"/>
      <c r="AA91" s="554">
        <v>0</v>
      </c>
      <c r="AB91" s="555">
        <v>0</v>
      </c>
      <c r="AC91" s="592"/>
      <c r="AD91" s="164"/>
      <c r="AE91" s="135"/>
      <c r="AF91" s="135"/>
      <c r="AG91" s="135"/>
    </row>
    <row r="92" spans="1:33" ht="15.75">
      <c r="A92" s="136"/>
      <c r="B92" s="505" t="s">
        <v>462</v>
      </c>
      <c r="C92" s="506"/>
      <c r="D92" s="908"/>
      <c r="E92" s="911"/>
      <c r="F92" s="506">
        <f t="shared" si="51"/>
        <v>2.082045642599643E-3</v>
      </c>
      <c r="G92" s="547" t="s">
        <v>1347</v>
      </c>
      <c r="H92" s="620"/>
      <c r="I92" s="547" t="s">
        <v>1340</v>
      </c>
      <c r="J92" s="544" t="s">
        <v>1401</v>
      </c>
      <c r="K92" s="544" t="s">
        <v>1037</v>
      </c>
      <c r="L92" s="621"/>
      <c r="M92" s="622"/>
      <c r="N92" s="623"/>
      <c r="O92" s="550">
        <v>1</v>
      </c>
      <c r="P92" s="611" t="s">
        <v>78</v>
      </c>
      <c r="Q92" s="506">
        <v>0</v>
      </c>
      <c r="R92" s="554">
        <v>1</v>
      </c>
      <c r="S92" s="506"/>
      <c r="T92" s="554"/>
      <c r="U92" s="554">
        <v>0</v>
      </c>
      <c r="V92" s="624">
        <v>0</v>
      </c>
      <c r="W92" s="625"/>
      <c r="X92" s="626" t="s">
        <v>78</v>
      </c>
      <c r="Y92" s="554"/>
      <c r="Z92" s="593"/>
      <c r="AA92" s="554">
        <v>0</v>
      </c>
      <c r="AB92" s="555">
        <v>0</v>
      </c>
      <c r="AC92" s="592"/>
      <c r="AD92" s="164"/>
      <c r="AE92" s="135"/>
      <c r="AF92" s="135"/>
      <c r="AG92" s="135"/>
    </row>
    <row r="93" spans="1:33" ht="16.5" thickBot="1">
      <c r="A93" s="136"/>
      <c r="B93" s="515" t="s">
        <v>463</v>
      </c>
      <c r="C93" s="568"/>
      <c r="D93" s="909"/>
      <c r="E93" s="912"/>
      <c r="F93" s="568">
        <f t="shared" si="51"/>
        <v>2.082045642599643E-3</v>
      </c>
      <c r="G93" s="563" t="s">
        <v>1348</v>
      </c>
      <c r="H93" s="627"/>
      <c r="I93" s="563" t="s">
        <v>1340</v>
      </c>
      <c r="J93" s="544" t="s">
        <v>1401</v>
      </c>
      <c r="K93" s="544" t="s">
        <v>1037</v>
      </c>
      <c r="L93" s="628"/>
      <c r="M93" s="629"/>
      <c r="N93" s="630"/>
      <c r="O93" s="566">
        <v>1</v>
      </c>
      <c r="P93" s="613" t="s">
        <v>78</v>
      </c>
      <c r="Q93" s="568">
        <v>0</v>
      </c>
      <c r="R93" s="572">
        <v>1</v>
      </c>
      <c r="S93" s="568"/>
      <c r="T93" s="572"/>
      <c r="U93" s="572">
        <v>0</v>
      </c>
      <c r="V93" s="631">
        <v>0</v>
      </c>
      <c r="W93" s="632"/>
      <c r="X93" s="633" t="s">
        <v>78</v>
      </c>
      <c r="Y93" s="567"/>
      <c r="Z93" s="609"/>
      <c r="AA93" s="572">
        <v>0</v>
      </c>
      <c r="AB93" s="573">
        <v>0</v>
      </c>
      <c r="AC93" s="592"/>
      <c r="AD93" s="164"/>
      <c r="AE93" s="135"/>
      <c r="AF93" s="135"/>
      <c r="AG93" s="135"/>
    </row>
    <row r="94" spans="1:33" ht="189">
      <c r="A94" s="136"/>
      <c r="B94" s="504" t="s">
        <v>1311</v>
      </c>
      <c r="C94" s="538"/>
      <c r="D94" s="913" t="s">
        <v>872</v>
      </c>
      <c r="E94" s="910">
        <f>'Core Block FIT rate'!L41</f>
        <v>4.3918334952659836E-2</v>
      </c>
      <c r="F94" s="538">
        <f>E94/4</f>
        <v>1.0979583738164959E-2</v>
      </c>
      <c r="G94" s="533" t="s">
        <v>1365</v>
      </c>
      <c r="H94" s="584"/>
      <c r="I94" s="594" t="s">
        <v>1368</v>
      </c>
      <c r="J94" s="531" t="s">
        <v>1406</v>
      </c>
      <c r="K94" s="531" t="s">
        <v>884</v>
      </c>
      <c r="L94" s="531"/>
      <c r="M94" s="534"/>
      <c r="N94" s="586"/>
      <c r="O94" s="536">
        <v>1</v>
      </c>
      <c r="P94" s="537" t="s">
        <v>1035</v>
      </c>
      <c r="Q94" s="538">
        <f t="shared" si="48"/>
        <v>1.0979583738164959E-2</v>
      </c>
      <c r="R94" s="537">
        <f t="shared" si="38"/>
        <v>0</v>
      </c>
      <c r="S94" s="538" t="s">
        <v>1369</v>
      </c>
      <c r="T94" s="577"/>
      <c r="U94" s="537">
        <f t="shared" si="47"/>
        <v>0.99</v>
      </c>
      <c r="V94" s="539">
        <f t="shared" ref="V94:V99" si="52">IF(P94="N",0,Q94*(1-R94)*(1-U94))</f>
        <v>1.0979583738164969E-4</v>
      </c>
      <c r="W94" s="540"/>
      <c r="X94" s="541" t="s">
        <v>1035</v>
      </c>
      <c r="Y94" s="538" t="str">
        <f>S94</f>
        <v>SM01 SM02 SM09 SM11 SM15 SM16 SM18 SM20 SM23</v>
      </c>
      <c r="Z94" s="537"/>
      <c r="AA94" s="537">
        <v>1</v>
      </c>
      <c r="AB94" s="542">
        <f t="shared" si="50"/>
        <v>0</v>
      </c>
      <c r="AC94" s="592"/>
      <c r="AD94" s="164" t="s">
        <v>1370</v>
      </c>
      <c r="AE94" s="135"/>
      <c r="AF94" s="135"/>
      <c r="AG94" s="135"/>
    </row>
    <row r="95" spans="1:33" ht="189">
      <c r="A95" s="136"/>
      <c r="B95" s="505" t="s">
        <v>1312</v>
      </c>
      <c r="C95" s="506"/>
      <c r="D95" s="914"/>
      <c r="E95" s="911"/>
      <c r="F95" s="506">
        <f t="shared" si="51"/>
        <v>1.0979583738164959E-2</v>
      </c>
      <c r="G95" s="547" t="s">
        <v>1366</v>
      </c>
      <c r="H95" s="581"/>
      <c r="I95" s="589" t="s">
        <v>1368</v>
      </c>
      <c r="J95" s="544" t="s">
        <v>1406</v>
      </c>
      <c r="K95" s="544" t="s">
        <v>884</v>
      </c>
      <c r="L95" s="544"/>
      <c r="M95" s="548"/>
      <c r="N95" s="583"/>
      <c r="O95" s="550">
        <v>1</v>
      </c>
      <c r="P95" s="551" t="s">
        <v>1035</v>
      </c>
      <c r="Q95" s="506">
        <f t="shared" si="48"/>
        <v>1.0979583738164959E-2</v>
      </c>
      <c r="R95" s="551">
        <f t="shared" si="38"/>
        <v>0</v>
      </c>
      <c r="S95" s="506" t="s">
        <v>1369</v>
      </c>
      <c r="T95" s="554"/>
      <c r="U95" s="551">
        <f t="shared" si="47"/>
        <v>0.99</v>
      </c>
      <c r="V95" s="552">
        <f t="shared" si="52"/>
        <v>1.0979583738164969E-4</v>
      </c>
      <c r="W95" s="553"/>
      <c r="X95" s="550" t="s">
        <v>1035</v>
      </c>
      <c r="Y95" s="554" t="str">
        <f>S95</f>
        <v>SM01 SM02 SM09 SM11 SM15 SM16 SM18 SM20 SM23</v>
      </c>
      <c r="Z95" s="554"/>
      <c r="AA95" s="551">
        <v>1</v>
      </c>
      <c r="AB95" s="555">
        <f t="shared" si="50"/>
        <v>0</v>
      </c>
      <c r="AC95" s="592"/>
      <c r="AD95" s="164" t="s">
        <v>1370</v>
      </c>
      <c r="AE95" s="135"/>
      <c r="AF95" s="135"/>
      <c r="AG95" s="135"/>
    </row>
    <row r="96" spans="1:33" ht="15.75">
      <c r="A96" s="136"/>
      <c r="B96" s="505" t="s">
        <v>1313</v>
      </c>
      <c r="C96" s="506"/>
      <c r="D96" s="914"/>
      <c r="E96" s="911"/>
      <c r="F96" s="506">
        <f t="shared" si="51"/>
        <v>1.0979583738164959E-2</v>
      </c>
      <c r="G96" s="547" t="s">
        <v>1276</v>
      </c>
      <c r="H96" s="547"/>
      <c r="I96" s="547" t="s">
        <v>1242</v>
      </c>
      <c r="J96" s="544" t="s">
        <v>1242</v>
      </c>
      <c r="K96" s="544" t="s">
        <v>1037</v>
      </c>
      <c r="L96" s="621"/>
      <c r="M96" s="622"/>
      <c r="N96" s="623"/>
      <c r="O96" s="550">
        <v>1</v>
      </c>
      <c r="P96" s="611" t="s">
        <v>78</v>
      </c>
      <c r="Q96" s="506">
        <f t="shared" si="48"/>
        <v>1.0979583738164959E-2</v>
      </c>
      <c r="R96" s="554">
        <f t="shared" si="38"/>
        <v>1</v>
      </c>
      <c r="S96" s="579"/>
      <c r="T96" s="554"/>
      <c r="U96" s="554"/>
      <c r="V96" s="624"/>
      <c r="W96" s="625"/>
      <c r="X96" s="626" t="str">
        <f t="shared" ref="X96" si="53">P96</f>
        <v>N</v>
      </c>
      <c r="Y96" s="554"/>
      <c r="Z96" s="506"/>
      <c r="AA96" s="554"/>
      <c r="AB96" s="555"/>
      <c r="AC96" s="592"/>
      <c r="AD96" s="164"/>
      <c r="AE96" s="135"/>
      <c r="AF96" s="135"/>
      <c r="AG96" s="135"/>
    </row>
    <row r="97" spans="1:33" ht="189.75" thickBot="1">
      <c r="A97" s="136"/>
      <c r="B97" s="515" t="s">
        <v>1314</v>
      </c>
      <c r="C97" s="568"/>
      <c r="D97" s="900"/>
      <c r="E97" s="912"/>
      <c r="F97" s="568">
        <f t="shared" si="51"/>
        <v>1.0979583738164959E-2</v>
      </c>
      <c r="G97" s="563" t="s">
        <v>1367</v>
      </c>
      <c r="H97" s="607"/>
      <c r="I97" s="634" t="s">
        <v>1368</v>
      </c>
      <c r="J97" s="559" t="s">
        <v>1406</v>
      </c>
      <c r="K97" s="559" t="s">
        <v>884</v>
      </c>
      <c r="L97" s="559"/>
      <c r="M97" s="564"/>
      <c r="N97" s="608"/>
      <c r="O97" s="566">
        <v>1</v>
      </c>
      <c r="P97" s="567" t="s">
        <v>1035</v>
      </c>
      <c r="Q97" s="568">
        <f t="shared" si="48"/>
        <v>1.0979583738164959E-2</v>
      </c>
      <c r="R97" s="567">
        <f t="shared" si="38"/>
        <v>0</v>
      </c>
      <c r="S97" s="568" t="s">
        <v>1369</v>
      </c>
      <c r="T97" s="572"/>
      <c r="U97" s="567">
        <f t="shared" si="47"/>
        <v>0.99</v>
      </c>
      <c r="V97" s="570">
        <f t="shared" si="52"/>
        <v>1.0979583738164969E-4</v>
      </c>
      <c r="W97" s="571"/>
      <c r="X97" s="566" t="s">
        <v>1035</v>
      </c>
      <c r="Y97" s="572" t="str">
        <f>S97</f>
        <v>SM01 SM02 SM09 SM11 SM15 SM16 SM18 SM20 SM23</v>
      </c>
      <c r="Z97" s="572"/>
      <c r="AA97" s="567">
        <v>1</v>
      </c>
      <c r="AB97" s="573">
        <f t="shared" si="50"/>
        <v>0</v>
      </c>
      <c r="AC97" s="592"/>
      <c r="AD97" s="164" t="s">
        <v>1370</v>
      </c>
      <c r="AE97" s="135"/>
      <c r="AF97" s="135"/>
      <c r="AG97" s="135"/>
    </row>
    <row r="98" spans="1:33" ht="15.75">
      <c r="A98" s="136"/>
      <c r="B98" s="504" t="s">
        <v>1315</v>
      </c>
      <c r="C98" s="538"/>
      <c r="D98" s="913" t="s">
        <v>873</v>
      </c>
      <c r="E98" s="910">
        <f>'Core Block FIT rate'!L42</f>
        <v>1.1916874697688453</v>
      </c>
      <c r="F98" s="538">
        <f>E98/6</f>
        <v>0.19861457829480755</v>
      </c>
      <c r="G98" s="533" t="s">
        <v>1280</v>
      </c>
      <c r="H98" s="584"/>
      <c r="I98" s="594" t="s">
        <v>1287</v>
      </c>
      <c r="J98" s="531" t="s">
        <v>1287</v>
      </c>
      <c r="K98" s="531" t="s">
        <v>884</v>
      </c>
      <c r="L98" s="531"/>
      <c r="M98" s="534"/>
      <c r="N98" s="586"/>
      <c r="O98" s="536">
        <v>1</v>
      </c>
      <c r="P98" s="537" t="s">
        <v>1035</v>
      </c>
      <c r="Q98" s="538">
        <f t="shared" si="48"/>
        <v>0.19861457829480755</v>
      </c>
      <c r="R98" s="537">
        <f t="shared" si="38"/>
        <v>0</v>
      </c>
      <c r="S98" s="532" t="s">
        <v>1286</v>
      </c>
      <c r="T98" s="577"/>
      <c r="U98" s="537">
        <v>0.99</v>
      </c>
      <c r="V98" s="539">
        <f t="shared" si="52"/>
        <v>1.9861457829480774E-3</v>
      </c>
      <c r="W98" s="540"/>
      <c r="X98" s="541" t="s">
        <v>1035</v>
      </c>
      <c r="Y98" s="538" t="str">
        <f>S98</f>
        <v>SM04 SM05 SM06 SM08</v>
      </c>
      <c r="Z98" s="537"/>
      <c r="AA98" s="537">
        <v>0.8</v>
      </c>
      <c r="AB98" s="542">
        <f t="shared" si="50"/>
        <v>3.9325686502371886E-2</v>
      </c>
      <c r="AC98" s="592"/>
      <c r="AD98" s="164"/>
      <c r="AE98" s="135"/>
      <c r="AF98" s="135"/>
      <c r="AG98" s="135"/>
    </row>
    <row r="99" spans="1:33" ht="15.75">
      <c r="A99" s="136"/>
      <c r="B99" s="505" t="s">
        <v>1316</v>
      </c>
      <c r="C99" s="506"/>
      <c r="D99" s="914"/>
      <c r="E99" s="911"/>
      <c r="F99" s="506">
        <f t="shared" si="51"/>
        <v>0.19861457829480755</v>
      </c>
      <c r="G99" s="547" t="s">
        <v>1281</v>
      </c>
      <c r="H99" s="581"/>
      <c r="I99" s="589" t="s">
        <v>1288</v>
      </c>
      <c r="J99" s="544" t="s">
        <v>1288</v>
      </c>
      <c r="K99" s="544" t="s">
        <v>884</v>
      </c>
      <c r="L99" s="544"/>
      <c r="M99" s="548"/>
      <c r="N99" s="583"/>
      <c r="O99" s="550">
        <v>1</v>
      </c>
      <c r="P99" s="551" t="s">
        <v>1035</v>
      </c>
      <c r="Q99" s="506">
        <f t="shared" si="48"/>
        <v>0.19861457829480755</v>
      </c>
      <c r="R99" s="551">
        <f t="shared" si="38"/>
        <v>0</v>
      </c>
      <c r="S99" s="579" t="s">
        <v>1289</v>
      </c>
      <c r="T99" s="554"/>
      <c r="U99" s="551">
        <f t="shared" si="47"/>
        <v>0.99</v>
      </c>
      <c r="V99" s="552">
        <f t="shared" si="52"/>
        <v>1.9861457829480774E-3</v>
      </c>
      <c r="W99" s="553"/>
      <c r="X99" s="550" t="s">
        <v>1035</v>
      </c>
      <c r="Y99" s="554" t="str">
        <f>S99</f>
        <v>SM04 SM06 SM08</v>
      </c>
      <c r="Z99" s="506"/>
      <c r="AA99" s="551">
        <v>0.8</v>
      </c>
      <c r="AB99" s="555">
        <f t="shared" si="50"/>
        <v>3.9325686502371886E-2</v>
      </c>
      <c r="AC99" s="592"/>
      <c r="AD99" s="164"/>
      <c r="AE99" s="135"/>
      <c r="AF99" s="135"/>
      <c r="AG99" s="135"/>
    </row>
    <row r="100" spans="1:33" ht="15.75">
      <c r="A100" s="136"/>
      <c r="B100" s="505" t="s">
        <v>1317</v>
      </c>
      <c r="C100" s="506"/>
      <c r="D100" s="914"/>
      <c r="E100" s="911"/>
      <c r="F100" s="506">
        <f t="shared" si="51"/>
        <v>0.19861457829480755</v>
      </c>
      <c r="G100" s="547" t="s">
        <v>1282</v>
      </c>
      <c r="H100" s="581"/>
      <c r="I100" s="589" t="s">
        <v>1288</v>
      </c>
      <c r="J100" s="544" t="s">
        <v>1288</v>
      </c>
      <c r="K100" s="544" t="s">
        <v>884</v>
      </c>
      <c r="L100" s="581"/>
      <c r="M100" s="552"/>
      <c r="N100" s="583"/>
      <c r="O100" s="550">
        <v>1</v>
      </c>
      <c r="P100" s="551" t="s">
        <v>1035</v>
      </c>
      <c r="Q100" s="506">
        <f t="shared" ref="Q100" si="54">F100*O100</f>
        <v>0.19861457829480755</v>
      </c>
      <c r="R100" s="551">
        <f t="shared" ref="R100" si="55">IF(P100="N",100%,0%)</f>
        <v>0</v>
      </c>
      <c r="S100" s="579" t="s">
        <v>1396</v>
      </c>
      <c r="T100" s="554"/>
      <c r="U100" s="551">
        <f t="shared" ref="U100" si="56">IF(P100="N",0%,99%)</f>
        <v>0.99</v>
      </c>
      <c r="V100" s="552">
        <f t="shared" ref="V100" si="57">IF(P100="N",0,Q100*(1-R100)*(1-U100))</f>
        <v>1.9861457829480774E-3</v>
      </c>
      <c r="W100" s="553"/>
      <c r="X100" s="550" t="s">
        <v>1035</v>
      </c>
      <c r="Y100" s="554" t="str">
        <f>S100</f>
        <v>SM03 SM06 SM24</v>
      </c>
      <c r="Z100" s="506"/>
      <c r="AA100" s="551">
        <v>0.8</v>
      </c>
      <c r="AB100" s="555">
        <f t="shared" ref="AB100" si="58">IF(X100="N",0,(Q100*(1-R100)-V100)*(1-AA100))</f>
        <v>3.9325686502371886E-2</v>
      </c>
      <c r="AC100" s="543"/>
      <c r="AD100" s="164"/>
      <c r="AE100" s="135"/>
      <c r="AF100" s="135"/>
      <c r="AG100" s="135"/>
    </row>
    <row r="101" spans="1:33" ht="15.75">
      <c r="A101" s="136"/>
      <c r="B101" s="505" t="s">
        <v>464</v>
      </c>
      <c r="C101" s="506"/>
      <c r="D101" s="914"/>
      <c r="E101" s="911"/>
      <c r="F101" s="506">
        <f t="shared" si="51"/>
        <v>0.19861457829480755</v>
      </c>
      <c r="G101" s="547" t="s">
        <v>1283</v>
      </c>
      <c r="H101" s="581"/>
      <c r="I101" s="547" t="s">
        <v>1358</v>
      </c>
      <c r="J101" s="544" t="s">
        <v>1242</v>
      </c>
      <c r="K101" s="544" t="s">
        <v>884</v>
      </c>
      <c r="L101" s="581"/>
      <c r="M101" s="552"/>
      <c r="N101" s="583"/>
      <c r="O101" s="550">
        <v>1</v>
      </c>
      <c r="P101" s="551" t="s">
        <v>78</v>
      </c>
      <c r="Q101" s="506">
        <f t="shared" si="48"/>
        <v>0.19861457829480755</v>
      </c>
      <c r="R101" s="551">
        <f t="shared" ref="R101:R103" si="59">IF(P101="N",100%,0%)</f>
        <v>1</v>
      </c>
      <c r="S101" s="551"/>
      <c r="T101" s="551"/>
      <c r="U101" s="551"/>
      <c r="V101" s="552"/>
      <c r="W101" s="553"/>
      <c r="X101" s="550" t="s">
        <v>78</v>
      </c>
      <c r="Y101" s="551"/>
      <c r="Z101" s="593"/>
      <c r="AA101" s="551"/>
      <c r="AB101" s="555"/>
      <c r="AC101" s="543"/>
      <c r="AD101" s="164"/>
      <c r="AE101" s="135"/>
      <c r="AF101" s="135"/>
      <c r="AG101" s="135"/>
    </row>
    <row r="102" spans="1:33" ht="15.75">
      <c r="A102" s="136"/>
      <c r="B102" s="505" t="s">
        <v>465</v>
      </c>
      <c r="C102" s="506"/>
      <c r="D102" s="914"/>
      <c r="E102" s="911"/>
      <c r="F102" s="506">
        <f t="shared" si="51"/>
        <v>0.19861457829480755</v>
      </c>
      <c r="G102" s="547" t="s">
        <v>1284</v>
      </c>
      <c r="H102" s="581"/>
      <c r="I102" s="589" t="s">
        <v>1358</v>
      </c>
      <c r="J102" s="544" t="s">
        <v>1242</v>
      </c>
      <c r="K102" s="544" t="s">
        <v>1037</v>
      </c>
      <c r="L102" s="544"/>
      <c r="M102" s="548"/>
      <c r="N102" s="583"/>
      <c r="O102" s="550">
        <v>1</v>
      </c>
      <c r="P102" s="551" t="s">
        <v>78</v>
      </c>
      <c r="Q102" s="506">
        <f t="shared" si="48"/>
        <v>0.19861457829480755</v>
      </c>
      <c r="R102" s="551">
        <f t="shared" si="59"/>
        <v>1</v>
      </c>
      <c r="S102" s="551"/>
      <c r="T102" s="551"/>
      <c r="U102" s="551"/>
      <c r="V102" s="552"/>
      <c r="W102" s="553"/>
      <c r="X102" s="550" t="s">
        <v>78</v>
      </c>
      <c r="Y102" s="551"/>
      <c r="Z102" s="593"/>
      <c r="AA102" s="551"/>
      <c r="AB102" s="555"/>
      <c r="AC102" s="592"/>
      <c r="AD102" s="164"/>
      <c r="AE102" s="135"/>
      <c r="AF102" s="135"/>
      <c r="AG102" s="135"/>
    </row>
    <row r="103" spans="1:33" ht="16.5" thickBot="1">
      <c r="A103" s="136"/>
      <c r="B103" s="515" t="s">
        <v>466</v>
      </c>
      <c r="C103" s="568"/>
      <c r="D103" s="900"/>
      <c r="E103" s="912"/>
      <c r="F103" s="568">
        <f t="shared" si="51"/>
        <v>0.19861457829480755</v>
      </c>
      <c r="G103" s="563" t="s">
        <v>1285</v>
      </c>
      <c r="H103" s="607"/>
      <c r="I103" s="547" t="s">
        <v>1358</v>
      </c>
      <c r="J103" s="559" t="s">
        <v>1242</v>
      </c>
      <c r="K103" s="559" t="s">
        <v>1037</v>
      </c>
      <c r="L103" s="559"/>
      <c r="M103" s="564"/>
      <c r="N103" s="583"/>
      <c r="O103" s="550">
        <v>1</v>
      </c>
      <c r="P103" s="551" t="s">
        <v>78</v>
      </c>
      <c r="Q103" s="506">
        <f t="shared" si="48"/>
        <v>0.19861457829480755</v>
      </c>
      <c r="R103" s="551">
        <f t="shared" si="59"/>
        <v>1</v>
      </c>
      <c r="S103" s="551"/>
      <c r="T103" s="551"/>
      <c r="U103" s="551"/>
      <c r="V103" s="552"/>
      <c r="W103" s="553"/>
      <c r="X103" s="550" t="s">
        <v>78</v>
      </c>
      <c r="Y103" s="551"/>
      <c r="Z103" s="593"/>
      <c r="AA103" s="551"/>
      <c r="AB103" s="555"/>
      <c r="AC103" s="592"/>
      <c r="AD103" s="164"/>
      <c r="AE103" s="135"/>
      <c r="AF103" s="135"/>
      <c r="AG103" s="135"/>
    </row>
    <row r="104" spans="1:33" ht="15.75">
      <c r="A104" s="136"/>
      <c r="B104" s="504" t="s">
        <v>467</v>
      </c>
      <c r="C104" s="538"/>
      <c r="D104" s="913" t="s">
        <v>874</v>
      </c>
      <c r="E104" s="910">
        <f>'Core Block FIT rate'!L43</f>
        <v>1.1916874697688453</v>
      </c>
      <c r="F104" s="538">
        <f>E104/6</f>
        <v>0.19861457829480755</v>
      </c>
      <c r="G104" s="533" t="s">
        <v>1280</v>
      </c>
      <c r="H104" s="584"/>
      <c r="I104" s="594" t="s">
        <v>1287</v>
      </c>
      <c r="J104" s="531" t="s">
        <v>1287</v>
      </c>
      <c r="K104" s="531" t="s">
        <v>884</v>
      </c>
      <c r="L104" s="531"/>
      <c r="M104" s="534"/>
      <c r="N104" s="586"/>
      <c r="O104" s="536">
        <v>1</v>
      </c>
      <c r="P104" s="537" t="s">
        <v>1035</v>
      </c>
      <c r="Q104" s="538">
        <f t="shared" ref="Q104:Q119" si="60">F104*O104</f>
        <v>0.19861457829480755</v>
      </c>
      <c r="R104" s="537">
        <f t="shared" ref="R104:R109" si="61">IF(P104="N",100%,0%)</f>
        <v>0</v>
      </c>
      <c r="S104" s="532" t="s">
        <v>1286</v>
      </c>
      <c r="T104" s="577"/>
      <c r="U104" s="537">
        <v>0.99</v>
      </c>
      <c r="V104" s="539">
        <f t="shared" ref="V104:V106" si="62">IF(P104="N",0,Q104*(1-R104)*(1-U104))</f>
        <v>1.9861457829480774E-3</v>
      </c>
      <c r="W104" s="540"/>
      <c r="X104" s="541" t="s">
        <v>1035</v>
      </c>
      <c r="Y104" s="538" t="str">
        <f>S104</f>
        <v>SM04 SM05 SM06 SM08</v>
      </c>
      <c r="Z104" s="537"/>
      <c r="AA104" s="537">
        <v>0.8</v>
      </c>
      <c r="AB104" s="542">
        <f t="shared" ref="AB104:AB106" si="63">IF(X104="N",0,(Q104*(1-R104)-V104)*(1-AA104))</f>
        <v>3.9325686502371886E-2</v>
      </c>
      <c r="AC104" s="592"/>
      <c r="AD104" s="164"/>
      <c r="AE104" s="135"/>
      <c r="AF104" s="135"/>
      <c r="AG104" s="135"/>
    </row>
    <row r="105" spans="1:33" ht="15.75">
      <c r="A105" s="136"/>
      <c r="B105" s="505" t="s">
        <v>468</v>
      </c>
      <c r="C105" s="506"/>
      <c r="D105" s="914"/>
      <c r="E105" s="911"/>
      <c r="F105" s="506">
        <f t="shared" si="51"/>
        <v>0.19861457829480755</v>
      </c>
      <c r="G105" s="547" t="s">
        <v>1281</v>
      </c>
      <c r="H105" s="581"/>
      <c r="I105" s="589" t="s">
        <v>1288</v>
      </c>
      <c r="J105" s="544" t="s">
        <v>1288</v>
      </c>
      <c r="K105" s="544" t="s">
        <v>884</v>
      </c>
      <c r="L105" s="544"/>
      <c r="M105" s="548"/>
      <c r="N105" s="583"/>
      <c r="O105" s="550">
        <v>1</v>
      </c>
      <c r="P105" s="551" t="s">
        <v>1035</v>
      </c>
      <c r="Q105" s="506">
        <f t="shared" si="60"/>
        <v>0.19861457829480755</v>
      </c>
      <c r="R105" s="551">
        <f t="shared" si="61"/>
        <v>0</v>
      </c>
      <c r="S105" s="579" t="s">
        <v>1289</v>
      </c>
      <c r="T105" s="554"/>
      <c r="U105" s="551">
        <f t="shared" ref="U105:U106" si="64">IF(P105="N",0%,99%)</f>
        <v>0.99</v>
      </c>
      <c r="V105" s="552">
        <f t="shared" si="62"/>
        <v>1.9861457829480774E-3</v>
      </c>
      <c r="W105" s="553"/>
      <c r="X105" s="550" t="s">
        <v>1035</v>
      </c>
      <c r="Y105" s="554" t="str">
        <f>S105</f>
        <v>SM04 SM06 SM08</v>
      </c>
      <c r="Z105" s="506"/>
      <c r="AA105" s="551">
        <v>0.8</v>
      </c>
      <c r="AB105" s="555">
        <f t="shared" si="63"/>
        <v>3.9325686502371886E-2</v>
      </c>
      <c r="AC105" s="592"/>
      <c r="AD105" s="164"/>
      <c r="AE105" s="135"/>
      <c r="AF105" s="135"/>
      <c r="AG105" s="135"/>
    </row>
    <row r="106" spans="1:33" ht="15.75">
      <c r="A106" s="136"/>
      <c r="B106" s="505" t="s">
        <v>469</v>
      </c>
      <c r="C106" s="506"/>
      <c r="D106" s="914"/>
      <c r="E106" s="911"/>
      <c r="F106" s="506">
        <f t="shared" si="51"/>
        <v>0.19861457829480755</v>
      </c>
      <c r="G106" s="547" t="s">
        <v>1282</v>
      </c>
      <c r="H106" s="581"/>
      <c r="I106" s="589" t="s">
        <v>1288</v>
      </c>
      <c r="J106" s="544" t="s">
        <v>1288</v>
      </c>
      <c r="K106" s="544" t="s">
        <v>884</v>
      </c>
      <c r="L106" s="581"/>
      <c r="M106" s="552"/>
      <c r="N106" s="583"/>
      <c r="O106" s="550">
        <v>1</v>
      </c>
      <c r="P106" s="551" t="s">
        <v>1035</v>
      </c>
      <c r="Q106" s="506">
        <f t="shared" si="60"/>
        <v>0.19861457829480755</v>
      </c>
      <c r="R106" s="551">
        <f t="shared" si="61"/>
        <v>0</v>
      </c>
      <c r="S106" s="579" t="s">
        <v>1396</v>
      </c>
      <c r="T106" s="554"/>
      <c r="U106" s="551">
        <f t="shared" si="64"/>
        <v>0.99</v>
      </c>
      <c r="V106" s="552">
        <f t="shared" si="62"/>
        <v>1.9861457829480774E-3</v>
      </c>
      <c r="W106" s="553"/>
      <c r="X106" s="550" t="s">
        <v>1035</v>
      </c>
      <c r="Y106" s="554" t="str">
        <f>S106</f>
        <v>SM03 SM06 SM24</v>
      </c>
      <c r="Z106" s="593"/>
      <c r="AA106" s="551">
        <v>0.8</v>
      </c>
      <c r="AB106" s="555">
        <f t="shared" si="63"/>
        <v>3.9325686502371886E-2</v>
      </c>
      <c r="AC106" s="543"/>
      <c r="AD106" s="164"/>
      <c r="AE106" s="135"/>
      <c r="AF106" s="135"/>
      <c r="AG106" s="135"/>
    </row>
    <row r="107" spans="1:33" ht="15.75">
      <c r="A107" s="136"/>
      <c r="B107" s="505" t="s">
        <v>470</v>
      </c>
      <c r="C107" s="506"/>
      <c r="D107" s="914"/>
      <c r="E107" s="911"/>
      <c r="F107" s="506">
        <f t="shared" si="51"/>
        <v>0.19861457829480755</v>
      </c>
      <c r="G107" s="547" t="s">
        <v>1283</v>
      </c>
      <c r="H107" s="581"/>
      <c r="I107" s="547" t="s">
        <v>1358</v>
      </c>
      <c r="J107" s="544" t="s">
        <v>1242</v>
      </c>
      <c r="K107" s="544" t="s">
        <v>1037</v>
      </c>
      <c r="L107" s="581"/>
      <c r="M107" s="552"/>
      <c r="N107" s="583"/>
      <c r="O107" s="550">
        <v>1</v>
      </c>
      <c r="P107" s="551" t="s">
        <v>78</v>
      </c>
      <c r="Q107" s="506">
        <f t="shared" si="60"/>
        <v>0.19861457829480755</v>
      </c>
      <c r="R107" s="551">
        <f t="shared" si="61"/>
        <v>1</v>
      </c>
      <c r="S107" s="551"/>
      <c r="T107" s="551"/>
      <c r="U107" s="551"/>
      <c r="V107" s="552"/>
      <c r="W107" s="553"/>
      <c r="X107" s="550" t="s">
        <v>78</v>
      </c>
      <c r="Y107" s="551"/>
      <c r="Z107" s="593"/>
      <c r="AA107" s="551"/>
      <c r="AB107" s="555"/>
      <c r="AC107" s="543"/>
      <c r="AD107" s="164"/>
      <c r="AE107" s="135"/>
      <c r="AF107" s="135"/>
      <c r="AG107" s="135"/>
    </row>
    <row r="108" spans="1:33" ht="15.75">
      <c r="A108" s="136"/>
      <c r="B108" s="505" t="s">
        <v>471</v>
      </c>
      <c r="C108" s="506"/>
      <c r="D108" s="914"/>
      <c r="E108" s="911"/>
      <c r="F108" s="506">
        <f t="shared" si="51"/>
        <v>0.19861457829480755</v>
      </c>
      <c r="G108" s="547" t="s">
        <v>1284</v>
      </c>
      <c r="H108" s="581"/>
      <c r="I108" s="589" t="s">
        <v>1358</v>
      </c>
      <c r="J108" s="544" t="s">
        <v>1242</v>
      </c>
      <c r="K108" s="544" t="s">
        <v>1037</v>
      </c>
      <c r="L108" s="544"/>
      <c r="M108" s="548"/>
      <c r="N108" s="583"/>
      <c r="O108" s="550">
        <v>1</v>
      </c>
      <c r="P108" s="551" t="s">
        <v>78</v>
      </c>
      <c r="Q108" s="506">
        <f t="shared" ref="Q108:Q109" si="65">F108*O108</f>
        <v>0.19861457829480755</v>
      </c>
      <c r="R108" s="551">
        <f t="shared" si="61"/>
        <v>1</v>
      </c>
      <c r="S108" s="551"/>
      <c r="T108" s="551"/>
      <c r="U108" s="551"/>
      <c r="V108" s="552"/>
      <c r="W108" s="553"/>
      <c r="X108" s="550" t="s">
        <v>78</v>
      </c>
      <c r="Y108" s="551"/>
      <c r="Z108" s="593"/>
      <c r="AA108" s="551"/>
      <c r="AB108" s="555"/>
      <c r="AC108" s="592"/>
      <c r="AD108" s="164"/>
      <c r="AE108" s="135"/>
      <c r="AF108" s="135"/>
      <c r="AG108" s="135"/>
    </row>
    <row r="109" spans="1:33" ht="16.5" thickBot="1">
      <c r="A109" s="136"/>
      <c r="B109" s="515" t="s">
        <v>1318</v>
      </c>
      <c r="C109" s="568"/>
      <c r="D109" s="900"/>
      <c r="E109" s="912"/>
      <c r="F109" s="568">
        <f t="shared" si="51"/>
        <v>0.19861457829480755</v>
      </c>
      <c r="G109" s="563" t="s">
        <v>1285</v>
      </c>
      <c r="H109" s="607"/>
      <c r="I109" s="547" t="s">
        <v>1358</v>
      </c>
      <c r="J109" s="559" t="s">
        <v>1242</v>
      </c>
      <c r="K109" s="559" t="s">
        <v>1037</v>
      </c>
      <c r="L109" s="559"/>
      <c r="M109" s="564"/>
      <c r="N109" s="583"/>
      <c r="O109" s="550">
        <v>1</v>
      </c>
      <c r="P109" s="551" t="s">
        <v>78</v>
      </c>
      <c r="Q109" s="506">
        <f t="shared" si="65"/>
        <v>0.19861457829480755</v>
      </c>
      <c r="R109" s="551">
        <f t="shared" si="61"/>
        <v>1</v>
      </c>
      <c r="S109" s="551"/>
      <c r="T109" s="551"/>
      <c r="U109" s="551"/>
      <c r="V109" s="552"/>
      <c r="W109" s="553"/>
      <c r="X109" s="550" t="s">
        <v>78</v>
      </c>
      <c r="Y109" s="551"/>
      <c r="Z109" s="593"/>
      <c r="AA109" s="551"/>
      <c r="AB109" s="555"/>
      <c r="AC109" s="592"/>
      <c r="AD109" s="164"/>
      <c r="AE109" s="135"/>
      <c r="AF109" s="135"/>
      <c r="AG109" s="135"/>
    </row>
    <row r="110" spans="1:33" ht="15.75">
      <c r="A110" s="136"/>
      <c r="B110" s="504" t="s">
        <v>1319</v>
      </c>
      <c r="C110" s="538"/>
      <c r="D110" s="913" t="s">
        <v>875</v>
      </c>
      <c r="E110" s="910">
        <f>'Core Block FIT rate'!L44</f>
        <v>1.0970518443553716</v>
      </c>
      <c r="F110" s="538">
        <f>E110/6</f>
        <v>0.18284197405922861</v>
      </c>
      <c r="G110" s="533" t="s">
        <v>1280</v>
      </c>
      <c r="H110" s="584"/>
      <c r="I110" s="594" t="s">
        <v>1287</v>
      </c>
      <c r="J110" s="531" t="s">
        <v>1287</v>
      </c>
      <c r="K110" s="531" t="s">
        <v>884</v>
      </c>
      <c r="L110" s="531"/>
      <c r="M110" s="534"/>
      <c r="N110" s="586"/>
      <c r="O110" s="536">
        <v>1</v>
      </c>
      <c r="P110" s="537" t="s">
        <v>1035</v>
      </c>
      <c r="Q110" s="538">
        <f t="shared" si="60"/>
        <v>0.18284197405922861</v>
      </c>
      <c r="R110" s="537">
        <f t="shared" ref="R110:R115" si="66">IF(P110="N",100%,0%)</f>
        <v>0</v>
      </c>
      <c r="S110" s="532" t="s">
        <v>1286</v>
      </c>
      <c r="T110" s="577"/>
      <c r="U110" s="537">
        <v>0.99</v>
      </c>
      <c r="V110" s="539">
        <f t="shared" ref="V110:V112" si="67">IF(P110="N",0,Q110*(1-R110)*(1-U110))</f>
        <v>1.8284197405922878E-3</v>
      </c>
      <c r="W110" s="540"/>
      <c r="X110" s="541" t="s">
        <v>1035</v>
      </c>
      <c r="Y110" s="538" t="str">
        <f>S110</f>
        <v>SM04 SM05 SM06 SM08</v>
      </c>
      <c r="Z110" s="537"/>
      <c r="AA110" s="537">
        <v>0.8</v>
      </c>
      <c r="AB110" s="542">
        <f t="shared" ref="AB110:AB112" si="68">IF(X110="N",0,(Q110*(1-R110)-V110)*(1-AA110))</f>
        <v>3.6202710863727255E-2</v>
      </c>
      <c r="AC110" s="592"/>
      <c r="AD110" s="164"/>
      <c r="AE110" s="135"/>
      <c r="AF110" s="135"/>
      <c r="AG110" s="135"/>
    </row>
    <row r="111" spans="1:33" ht="15.75">
      <c r="A111" s="136"/>
      <c r="B111" s="505" t="s">
        <v>472</v>
      </c>
      <c r="C111" s="506"/>
      <c r="D111" s="914"/>
      <c r="E111" s="911"/>
      <c r="F111" s="506">
        <f t="shared" si="51"/>
        <v>0.18284197405922861</v>
      </c>
      <c r="G111" s="547" t="s">
        <v>1281</v>
      </c>
      <c r="H111" s="581"/>
      <c r="I111" s="589" t="s">
        <v>1288</v>
      </c>
      <c r="J111" s="544" t="s">
        <v>1288</v>
      </c>
      <c r="K111" s="544" t="s">
        <v>884</v>
      </c>
      <c r="L111" s="544"/>
      <c r="M111" s="548"/>
      <c r="N111" s="583"/>
      <c r="O111" s="550">
        <v>1</v>
      </c>
      <c r="P111" s="551" t="s">
        <v>1035</v>
      </c>
      <c r="Q111" s="506">
        <f t="shared" si="60"/>
        <v>0.18284197405922861</v>
      </c>
      <c r="R111" s="551">
        <f t="shared" si="66"/>
        <v>0</v>
      </c>
      <c r="S111" s="579" t="s">
        <v>1289</v>
      </c>
      <c r="T111" s="554"/>
      <c r="U111" s="551">
        <f t="shared" ref="U111:U112" si="69">IF(P111="N",0%,99%)</f>
        <v>0.99</v>
      </c>
      <c r="V111" s="552">
        <f t="shared" si="67"/>
        <v>1.8284197405922878E-3</v>
      </c>
      <c r="W111" s="553"/>
      <c r="X111" s="550" t="s">
        <v>1035</v>
      </c>
      <c r="Y111" s="554" t="str">
        <f>S111</f>
        <v>SM04 SM06 SM08</v>
      </c>
      <c r="Z111" s="506"/>
      <c r="AA111" s="551">
        <v>0.8</v>
      </c>
      <c r="AB111" s="555">
        <f t="shared" si="68"/>
        <v>3.6202710863727255E-2</v>
      </c>
      <c r="AC111" s="592"/>
      <c r="AD111" s="164"/>
      <c r="AE111" s="135"/>
      <c r="AF111" s="135"/>
      <c r="AG111" s="135"/>
    </row>
    <row r="112" spans="1:33" ht="15.75">
      <c r="A112" s="136"/>
      <c r="B112" s="505" t="s">
        <v>1320</v>
      </c>
      <c r="C112" s="506"/>
      <c r="D112" s="914"/>
      <c r="E112" s="911"/>
      <c r="F112" s="506">
        <f t="shared" si="51"/>
        <v>0.18284197405922861</v>
      </c>
      <c r="G112" s="547" t="s">
        <v>1282</v>
      </c>
      <c r="H112" s="581"/>
      <c r="I112" s="589" t="s">
        <v>1288</v>
      </c>
      <c r="J112" s="544" t="s">
        <v>1288</v>
      </c>
      <c r="K112" s="544" t="s">
        <v>884</v>
      </c>
      <c r="L112" s="581"/>
      <c r="M112" s="552"/>
      <c r="N112" s="583"/>
      <c r="O112" s="550">
        <v>1</v>
      </c>
      <c r="P112" s="551" t="s">
        <v>1035</v>
      </c>
      <c r="Q112" s="506">
        <f t="shared" si="60"/>
        <v>0.18284197405922861</v>
      </c>
      <c r="R112" s="551">
        <f t="shared" si="66"/>
        <v>0</v>
      </c>
      <c r="S112" s="579" t="s">
        <v>1396</v>
      </c>
      <c r="T112" s="554"/>
      <c r="U112" s="551">
        <f t="shared" si="69"/>
        <v>0.99</v>
      </c>
      <c r="V112" s="552">
        <f t="shared" si="67"/>
        <v>1.8284197405922878E-3</v>
      </c>
      <c r="W112" s="553"/>
      <c r="X112" s="550" t="s">
        <v>1035</v>
      </c>
      <c r="Y112" s="554" t="str">
        <f>S112</f>
        <v>SM03 SM06 SM24</v>
      </c>
      <c r="Z112" s="593"/>
      <c r="AA112" s="551">
        <v>0.8</v>
      </c>
      <c r="AB112" s="555">
        <f t="shared" si="68"/>
        <v>3.6202710863727255E-2</v>
      </c>
      <c r="AC112" s="543"/>
      <c r="AD112" s="164"/>
      <c r="AE112" s="135"/>
      <c r="AF112" s="135"/>
      <c r="AG112" s="135"/>
    </row>
    <row r="113" spans="1:33" ht="15.75">
      <c r="A113" s="136"/>
      <c r="B113" s="505" t="s">
        <v>473</v>
      </c>
      <c r="C113" s="506"/>
      <c r="D113" s="914"/>
      <c r="E113" s="911"/>
      <c r="F113" s="506">
        <f t="shared" si="51"/>
        <v>0.18284197405922861</v>
      </c>
      <c r="G113" s="547" t="s">
        <v>1283</v>
      </c>
      <c r="H113" s="581"/>
      <c r="I113" s="547" t="s">
        <v>1358</v>
      </c>
      <c r="J113" s="544" t="s">
        <v>1242</v>
      </c>
      <c r="K113" s="544" t="s">
        <v>1037</v>
      </c>
      <c r="L113" s="581"/>
      <c r="M113" s="552"/>
      <c r="N113" s="583"/>
      <c r="O113" s="550">
        <v>1</v>
      </c>
      <c r="P113" s="551" t="s">
        <v>78</v>
      </c>
      <c r="Q113" s="506">
        <f t="shared" si="60"/>
        <v>0.18284197405922861</v>
      </c>
      <c r="R113" s="551">
        <f t="shared" si="66"/>
        <v>1</v>
      </c>
      <c r="S113" s="551"/>
      <c r="T113" s="551"/>
      <c r="U113" s="551"/>
      <c r="V113" s="552"/>
      <c r="W113" s="553"/>
      <c r="X113" s="550" t="s">
        <v>78</v>
      </c>
      <c r="Y113" s="551"/>
      <c r="Z113" s="593"/>
      <c r="AA113" s="551"/>
      <c r="AB113" s="555"/>
      <c r="AC113" s="543"/>
      <c r="AD113" s="164"/>
      <c r="AE113" s="135"/>
      <c r="AF113" s="135"/>
      <c r="AG113" s="135"/>
    </row>
    <row r="114" spans="1:33" ht="15.75">
      <c r="A114" s="136"/>
      <c r="B114" s="505" t="s">
        <v>474</v>
      </c>
      <c r="C114" s="506"/>
      <c r="D114" s="914"/>
      <c r="E114" s="911"/>
      <c r="F114" s="506">
        <f t="shared" si="51"/>
        <v>0.18284197405922861</v>
      </c>
      <c r="G114" s="547" t="s">
        <v>1284</v>
      </c>
      <c r="H114" s="581"/>
      <c r="I114" s="589" t="s">
        <v>1358</v>
      </c>
      <c r="J114" s="544" t="s">
        <v>1242</v>
      </c>
      <c r="K114" s="544" t="s">
        <v>1037</v>
      </c>
      <c r="L114" s="544"/>
      <c r="M114" s="548"/>
      <c r="N114" s="583"/>
      <c r="O114" s="550">
        <v>1</v>
      </c>
      <c r="P114" s="551" t="s">
        <v>78</v>
      </c>
      <c r="Q114" s="506">
        <f t="shared" ref="Q114:Q115" si="70">F114*O114</f>
        <v>0.18284197405922861</v>
      </c>
      <c r="R114" s="551">
        <f t="shared" si="66"/>
        <v>1</v>
      </c>
      <c r="S114" s="551"/>
      <c r="T114" s="551"/>
      <c r="U114" s="551"/>
      <c r="V114" s="552"/>
      <c r="W114" s="553"/>
      <c r="X114" s="550" t="s">
        <v>78</v>
      </c>
      <c r="Y114" s="551"/>
      <c r="Z114" s="593"/>
      <c r="AA114" s="551"/>
      <c r="AB114" s="555"/>
      <c r="AC114" s="592"/>
      <c r="AD114" s="164"/>
      <c r="AE114" s="135"/>
      <c r="AF114" s="135"/>
      <c r="AG114" s="135"/>
    </row>
    <row r="115" spans="1:33" ht="16.5" thickBot="1">
      <c r="A115" s="136"/>
      <c r="B115" s="515" t="s">
        <v>1321</v>
      </c>
      <c r="C115" s="568"/>
      <c r="D115" s="900"/>
      <c r="E115" s="912"/>
      <c r="F115" s="568">
        <f t="shared" si="51"/>
        <v>0.18284197405922861</v>
      </c>
      <c r="G115" s="563" t="s">
        <v>1285</v>
      </c>
      <c r="H115" s="607"/>
      <c r="I115" s="547" t="s">
        <v>1358</v>
      </c>
      <c r="J115" s="559" t="s">
        <v>1242</v>
      </c>
      <c r="K115" s="559" t="s">
        <v>1037</v>
      </c>
      <c r="L115" s="559"/>
      <c r="M115" s="564"/>
      <c r="N115" s="583"/>
      <c r="O115" s="550">
        <v>1</v>
      </c>
      <c r="P115" s="551" t="s">
        <v>78</v>
      </c>
      <c r="Q115" s="506">
        <f t="shared" si="70"/>
        <v>0.18284197405922861</v>
      </c>
      <c r="R115" s="551">
        <f t="shared" si="66"/>
        <v>1</v>
      </c>
      <c r="S115" s="551"/>
      <c r="T115" s="551"/>
      <c r="U115" s="551"/>
      <c r="V115" s="552"/>
      <c r="W115" s="553"/>
      <c r="X115" s="550" t="s">
        <v>78</v>
      </c>
      <c r="Y115" s="551"/>
      <c r="Z115" s="593"/>
      <c r="AA115" s="551"/>
      <c r="AB115" s="555"/>
      <c r="AC115" s="592"/>
      <c r="AD115" s="164"/>
      <c r="AE115" s="135"/>
      <c r="AF115" s="135"/>
      <c r="AG115" s="135"/>
    </row>
    <row r="116" spans="1:33" ht="15.75">
      <c r="A116" s="136"/>
      <c r="B116" s="504" t="s">
        <v>1322</v>
      </c>
      <c r="C116" s="538"/>
      <c r="D116" s="913" t="s">
        <v>876</v>
      </c>
      <c r="E116" s="910">
        <f>'Core Block FIT rate'!L45</f>
        <v>1.0987721758745248</v>
      </c>
      <c r="F116" s="538">
        <f>E116/6</f>
        <v>0.18312869597908746</v>
      </c>
      <c r="G116" s="533" t="s">
        <v>1280</v>
      </c>
      <c r="H116" s="584"/>
      <c r="I116" s="594" t="s">
        <v>1287</v>
      </c>
      <c r="J116" s="531" t="s">
        <v>1287</v>
      </c>
      <c r="K116" s="531" t="s">
        <v>884</v>
      </c>
      <c r="L116" s="531"/>
      <c r="M116" s="534"/>
      <c r="N116" s="586"/>
      <c r="O116" s="536">
        <v>1</v>
      </c>
      <c r="P116" s="537" t="s">
        <v>1035</v>
      </c>
      <c r="Q116" s="538">
        <f t="shared" si="60"/>
        <v>0.18312869597908746</v>
      </c>
      <c r="R116" s="537">
        <f t="shared" ref="R116:R119" si="71">IF(P116="N",100%,0%)</f>
        <v>0</v>
      </c>
      <c r="S116" s="532" t="s">
        <v>1286</v>
      </c>
      <c r="T116" s="577"/>
      <c r="U116" s="537">
        <v>0.99</v>
      </c>
      <c r="V116" s="539">
        <f t="shared" ref="V116:V118" si="72">IF(P116="N",0,Q116*(1-R116)*(1-U116))</f>
        <v>1.8312869597908762E-3</v>
      </c>
      <c r="W116" s="540"/>
      <c r="X116" s="541" t="s">
        <v>1035</v>
      </c>
      <c r="Y116" s="538" t="str">
        <f>S116</f>
        <v>SM04 SM05 SM06 SM08</v>
      </c>
      <c r="Z116" s="537"/>
      <c r="AA116" s="537">
        <v>0.8</v>
      </c>
      <c r="AB116" s="542">
        <f t="shared" ref="AB116:AB118" si="73">IF(X116="N",0,(Q116*(1-R116)-V116)*(1-AA116))</f>
        <v>3.6259481803859309E-2</v>
      </c>
      <c r="AC116" s="592"/>
      <c r="AD116" s="164"/>
      <c r="AE116" s="135"/>
      <c r="AF116" s="135"/>
      <c r="AG116" s="135"/>
    </row>
    <row r="117" spans="1:33" ht="15.75">
      <c r="A117" s="136"/>
      <c r="B117" s="505" t="s">
        <v>1323</v>
      </c>
      <c r="C117" s="506"/>
      <c r="D117" s="914"/>
      <c r="E117" s="911"/>
      <c r="F117" s="506">
        <f t="shared" si="51"/>
        <v>0.18312869597908746</v>
      </c>
      <c r="G117" s="547" t="s">
        <v>1281</v>
      </c>
      <c r="H117" s="581"/>
      <c r="I117" s="589" t="s">
        <v>1288</v>
      </c>
      <c r="J117" s="544" t="s">
        <v>1288</v>
      </c>
      <c r="K117" s="544" t="s">
        <v>884</v>
      </c>
      <c r="L117" s="544"/>
      <c r="M117" s="548"/>
      <c r="N117" s="583"/>
      <c r="O117" s="550">
        <v>1</v>
      </c>
      <c r="P117" s="551" t="s">
        <v>1035</v>
      </c>
      <c r="Q117" s="506">
        <f t="shared" si="60"/>
        <v>0.18312869597908746</v>
      </c>
      <c r="R117" s="551">
        <f t="shared" si="71"/>
        <v>0</v>
      </c>
      <c r="S117" s="579" t="s">
        <v>1289</v>
      </c>
      <c r="T117" s="554"/>
      <c r="U117" s="551">
        <f t="shared" ref="U117:U118" si="74">IF(P117="N",0%,99%)</f>
        <v>0.99</v>
      </c>
      <c r="V117" s="552">
        <f t="shared" si="72"/>
        <v>1.8312869597908762E-3</v>
      </c>
      <c r="W117" s="553"/>
      <c r="X117" s="550" t="s">
        <v>1035</v>
      </c>
      <c r="Y117" s="554" t="str">
        <f>S117</f>
        <v>SM04 SM06 SM08</v>
      </c>
      <c r="Z117" s="506"/>
      <c r="AA117" s="551">
        <v>0.8</v>
      </c>
      <c r="AB117" s="555">
        <f t="shared" si="73"/>
        <v>3.6259481803859309E-2</v>
      </c>
      <c r="AC117" s="592"/>
      <c r="AD117" s="164"/>
      <c r="AE117" s="135"/>
      <c r="AF117" s="135"/>
      <c r="AG117" s="135"/>
    </row>
    <row r="118" spans="1:33" ht="15.75">
      <c r="A118" s="136"/>
      <c r="B118" s="505" t="s">
        <v>1324</v>
      </c>
      <c r="C118" s="506"/>
      <c r="D118" s="914"/>
      <c r="E118" s="911"/>
      <c r="F118" s="506">
        <f t="shared" si="51"/>
        <v>0.18312869597908746</v>
      </c>
      <c r="G118" s="547" t="s">
        <v>1282</v>
      </c>
      <c r="H118" s="581"/>
      <c r="I118" s="589" t="s">
        <v>1288</v>
      </c>
      <c r="J118" s="544" t="s">
        <v>1288</v>
      </c>
      <c r="K118" s="544" t="s">
        <v>884</v>
      </c>
      <c r="L118" s="581"/>
      <c r="M118" s="552"/>
      <c r="N118" s="583"/>
      <c r="O118" s="550">
        <v>1</v>
      </c>
      <c r="P118" s="551" t="s">
        <v>1035</v>
      </c>
      <c r="Q118" s="506">
        <f t="shared" si="60"/>
        <v>0.18312869597908746</v>
      </c>
      <c r="R118" s="551">
        <f t="shared" si="71"/>
        <v>0</v>
      </c>
      <c r="S118" s="579" t="s">
        <v>1396</v>
      </c>
      <c r="T118" s="554"/>
      <c r="U118" s="551">
        <f t="shared" si="74"/>
        <v>0.99</v>
      </c>
      <c r="V118" s="552">
        <f t="shared" si="72"/>
        <v>1.8312869597908762E-3</v>
      </c>
      <c r="W118" s="553"/>
      <c r="X118" s="550" t="s">
        <v>1035</v>
      </c>
      <c r="Y118" s="554" t="str">
        <f>S118</f>
        <v>SM03 SM06 SM24</v>
      </c>
      <c r="Z118" s="593"/>
      <c r="AA118" s="551">
        <v>0.8</v>
      </c>
      <c r="AB118" s="555">
        <f t="shared" si="73"/>
        <v>3.6259481803859309E-2</v>
      </c>
      <c r="AC118" s="543"/>
      <c r="AD118" s="164"/>
      <c r="AE118" s="135"/>
      <c r="AF118" s="135"/>
      <c r="AG118" s="135"/>
    </row>
    <row r="119" spans="1:33" ht="15.75">
      <c r="A119" s="136"/>
      <c r="B119" s="505" t="s">
        <v>475</v>
      </c>
      <c r="C119" s="506"/>
      <c r="D119" s="914"/>
      <c r="E119" s="911"/>
      <c r="F119" s="506">
        <f t="shared" si="51"/>
        <v>0.18312869597908746</v>
      </c>
      <c r="G119" s="547" t="s">
        <v>1283</v>
      </c>
      <c r="H119" s="581"/>
      <c r="I119" s="547" t="s">
        <v>1358</v>
      </c>
      <c r="J119" s="544" t="s">
        <v>1242</v>
      </c>
      <c r="K119" s="544" t="s">
        <v>1037</v>
      </c>
      <c r="L119" s="581"/>
      <c r="M119" s="552"/>
      <c r="N119" s="583"/>
      <c r="O119" s="550">
        <v>1</v>
      </c>
      <c r="P119" s="551" t="s">
        <v>78</v>
      </c>
      <c r="Q119" s="506">
        <f t="shared" si="60"/>
        <v>0.18312869597908746</v>
      </c>
      <c r="R119" s="551">
        <f t="shared" si="71"/>
        <v>1</v>
      </c>
      <c r="S119" s="551"/>
      <c r="T119" s="551"/>
      <c r="U119" s="551"/>
      <c r="V119" s="552"/>
      <c r="W119" s="553"/>
      <c r="X119" s="550" t="s">
        <v>78</v>
      </c>
      <c r="Y119" s="551"/>
      <c r="Z119" s="593"/>
      <c r="AA119" s="551"/>
      <c r="AB119" s="555"/>
      <c r="AC119" s="543"/>
      <c r="AD119" s="164"/>
      <c r="AE119" s="135"/>
      <c r="AF119" s="135"/>
      <c r="AG119" s="135"/>
    </row>
    <row r="120" spans="1:33" ht="15.75">
      <c r="A120" s="136"/>
      <c r="B120" s="505" t="s">
        <v>476</v>
      </c>
      <c r="C120" s="506"/>
      <c r="D120" s="914"/>
      <c r="E120" s="911"/>
      <c r="F120" s="506">
        <f t="shared" si="51"/>
        <v>0.18312869597908746</v>
      </c>
      <c r="G120" s="547" t="s">
        <v>1284</v>
      </c>
      <c r="H120" s="581"/>
      <c r="I120" s="589" t="s">
        <v>1358</v>
      </c>
      <c r="J120" s="544" t="s">
        <v>1242</v>
      </c>
      <c r="K120" s="544" t="s">
        <v>1037</v>
      </c>
      <c r="L120" s="544"/>
      <c r="M120" s="548"/>
      <c r="N120" s="583"/>
      <c r="O120" s="550">
        <v>1</v>
      </c>
      <c r="P120" s="551" t="s">
        <v>78</v>
      </c>
      <c r="Q120" s="506">
        <f t="shared" ref="Q120:Q121" si="75">F120*O120</f>
        <v>0.18312869597908746</v>
      </c>
      <c r="R120" s="551">
        <f t="shared" ref="R120:R121" si="76">IF(P120="N",100%,0%)</f>
        <v>1</v>
      </c>
      <c r="S120" s="551"/>
      <c r="T120" s="551"/>
      <c r="U120" s="551"/>
      <c r="V120" s="552"/>
      <c r="W120" s="553"/>
      <c r="X120" s="550" t="s">
        <v>78</v>
      </c>
      <c r="Y120" s="551"/>
      <c r="Z120" s="593"/>
      <c r="AA120" s="551"/>
      <c r="AB120" s="555"/>
      <c r="AC120" s="592"/>
      <c r="AD120" s="164"/>
      <c r="AE120" s="135"/>
      <c r="AF120" s="135"/>
      <c r="AG120" s="135"/>
    </row>
    <row r="121" spans="1:33" ht="16.5" thickBot="1">
      <c r="A121" s="136"/>
      <c r="B121" s="515" t="s">
        <v>477</v>
      </c>
      <c r="C121" s="568"/>
      <c r="D121" s="900"/>
      <c r="E121" s="912"/>
      <c r="F121" s="568">
        <f t="shared" si="51"/>
        <v>0.18312869597908746</v>
      </c>
      <c r="G121" s="563" t="s">
        <v>1285</v>
      </c>
      <c r="H121" s="607"/>
      <c r="I121" s="563" t="s">
        <v>1358</v>
      </c>
      <c r="J121" s="559" t="s">
        <v>1242</v>
      </c>
      <c r="K121" s="559" t="s">
        <v>1037</v>
      </c>
      <c r="L121" s="559"/>
      <c r="M121" s="564"/>
      <c r="N121" s="608"/>
      <c r="O121" s="566">
        <v>1</v>
      </c>
      <c r="P121" s="567" t="s">
        <v>78</v>
      </c>
      <c r="Q121" s="568">
        <f t="shared" si="75"/>
        <v>0.18312869597908746</v>
      </c>
      <c r="R121" s="567">
        <f t="shared" si="76"/>
        <v>1</v>
      </c>
      <c r="S121" s="567"/>
      <c r="T121" s="567"/>
      <c r="U121" s="567"/>
      <c r="V121" s="570"/>
      <c r="W121" s="571"/>
      <c r="X121" s="566" t="s">
        <v>78</v>
      </c>
      <c r="Y121" s="567"/>
      <c r="Z121" s="609"/>
      <c r="AA121" s="567"/>
      <c r="AB121" s="573"/>
      <c r="AC121" s="592"/>
      <c r="AD121" s="164"/>
      <c r="AE121" s="135"/>
      <c r="AF121" s="135"/>
      <c r="AG121" s="135"/>
    </row>
    <row r="122" spans="1:33" ht="15.75">
      <c r="A122" s="136"/>
      <c r="B122" s="737" t="s">
        <v>478</v>
      </c>
      <c r="C122" s="538"/>
      <c r="D122" s="927" t="s" ph="1">
        <v>828</v>
      </c>
      <c r="E122" s="910">
        <f>'Core Block FIT rate'!L46</f>
        <v>0.30156130625668615</v>
      </c>
      <c r="F122" s="752">
        <f>E122/(22*2)</f>
        <v>6.8536660512883213E-3</v>
      </c>
      <c r="G122" s="738" t="s">
        <v>1290</v>
      </c>
      <c r="H122" s="731"/>
      <c r="I122" s="594" t="s">
        <v>1288</v>
      </c>
      <c r="J122" s="531" t="s">
        <v>1288</v>
      </c>
      <c r="K122" s="531" t="s">
        <v>1329</v>
      </c>
      <c r="L122" s="739"/>
      <c r="M122" s="585"/>
      <c r="N122" s="740"/>
      <c r="O122" s="536">
        <v>1</v>
      </c>
      <c r="P122" s="741" t="s">
        <v>78</v>
      </c>
      <c r="Q122" s="731">
        <f t="shared" ref="Q122:Q164" si="77">F122*O122</f>
        <v>6.8536660512883213E-3</v>
      </c>
      <c r="R122" s="741">
        <v>0</v>
      </c>
      <c r="S122" s="742"/>
      <c r="T122" s="577"/>
      <c r="U122" s="537"/>
      <c r="V122" s="539"/>
      <c r="W122" s="540"/>
      <c r="X122" s="536" t="s">
        <v>1035</v>
      </c>
      <c r="Y122" s="537"/>
      <c r="Z122" s="537"/>
      <c r="AA122" s="741">
        <v>0</v>
      </c>
      <c r="AB122" s="542">
        <f t="shared" ref="AB122:AB164" si="78">IF(X122="N",0,(Q122*(1-R122)-V122)*(1-AA122))</f>
        <v>6.8536660512883213E-3</v>
      </c>
      <c r="AC122" s="644"/>
      <c r="AD122" s="645"/>
      <c r="AE122" s="135"/>
      <c r="AF122" s="135"/>
      <c r="AG122" s="135"/>
    </row>
    <row r="123" spans="1:33" ht="15.75">
      <c r="A123" s="136"/>
      <c r="B123" s="505" t="s">
        <v>479</v>
      </c>
      <c r="C123" s="635"/>
      <c r="D123" s="898"/>
      <c r="E123" s="911"/>
      <c r="F123" s="753">
        <f>F122</f>
        <v>6.8536660512883213E-3</v>
      </c>
      <c r="G123" s="507" t="s">
        <v>1373</v>
      </c>
      <c r="H123" s="506"/>
      <c r="I123" s="636" t="s">
        <v>1242</v>
      </c>
      <c r="J123" s="637" t="s">
        <v>1242</v>
      </c>
      <c r="K123" s="637" t="s">
        <v>1037</v>
      </c>
      <c r="L123" s="506"/>
      <c r="M123" s="638"/>
      <c r="N123" s="746"/>
      <c r="O123" s="639">
        <v>1</v>
      </c>
      <c r="P123" s="551" t="s">
        <v>78</v>
      </c>
      <c r="Q123" s="595">
        <f>F122*O123</f>
        <v>6.8536660512883213E-3</v>
      </c>
      <c r="R123" s="551">
        <v>0</v>
      </c>
      <c r="S123" s="751"/>
      <c r="T123" s="641"/>
      <c r="U123" s="640"/>
      <c r="V123" s="642"/>
      <c r="W123" s="643"/>
      <c r="X123" s="639" t="s">
        <v>78</v>
      </c>
      <c r="Y123" s="640"/>
      <c r="Z123" s="640"/>
      <c r="AA123" s="551"/>
      <c r="AB123" s="555"/>
      <c r="AC123" s="644"/>
      <c r="AD123" s="645"/>
      <c r="AE123" s="135"/>
      <c r="AF123" s="135"/>
      <c r="AG123" s="135"/>
    </row>
    <row r="124" spans="1:33" ht="15.75">
      <c r="A124" s="136"/>
      <c r="B124" s="526" t="s">
        <v>480</v>
      </c>
      <c r="C124" s="506"/>
      <c r="D124" s="897" t="s" ph="1">
        <v>830</v>
      </c>
      <c r="E124" s="911"/>
      <c r="F124" s="753">
        <f>F123</f>
        <v>6.8536660512883213E-3</v>
      </c>
      <c r="G124" s="507" t="s">
        <v>1290</v>
      </c>
      <c r="H124" s="506"/>
      <c r="I124" s="646" t="s">
        <v>1326</v>
      </c>
      <c r="J124" s="506" t="s">
        <v>1326</v>
      </c>
      <c r="K124" s="544" t="s">
        <v>1329</v>
      </c>
      <c r="L124" s="506"/>
      <c r="M124" s="582"/>
      <c r="N124" s="583"/>
      <c r="O124" s="639">
        <v>1</v>
      </c>
      <c r="P124" s="551" t="s">
        <v>78</v>
      </c>
      <c r="Q124" s="595">
        <f t="shared" si="77"/>
        <v>6.8536660512883213E-3</v>
      </c>
      <c r="R124" s="551">
        <v>0</v>
      </c>
      <c r="S124" s="647"/>
      <c r="T124" s="554"/>
      <c r="U124" s="551"/>
      <c r="V124" s="552"/>
      <c r="W124" s="553"/>
      <c r="X124" s="550" t="s">
        <v>1035</v>
      </c>
      <c r="Y124" s="551"/>
      <c r="Z124" s="551"/>
      <c r="AA124" s="603">
        <v>0</v>
      </c>
      <c r="AB124" s="555">
        <f t="shared" si="78"/>
        <v>6.8536660512883213E-3</v>
      </c>
      <c r="AC124" s="648"/>
      <c r="AD124" s="132"/>
      <c r="AE124" s="135"/>
      <c r="AF124" s="135"/>
      <c r="AG124" s="135"/>
    </row>
    <row r="125" spans="1:33" ht="15.75">
      <c r="A125" s="136"/>
      <c r="B125" s="526" t="s">
        <v>481</v>
      </c>
      <c r="C125" s="506"/>
      <c r="D125" s="898"/>
      <c r="E125" s="911"/>
      <c r="F125" s="753">
        <f>F124</f>
        <v>6.8536660512883213E-3</v>
      </c>
      <c r="G125" s="507" t="s">
        <v>1373</v>
      </c>
      <c r="H125" s="506"/>
      <c r="I125" s="636" t="s">
        <v>1242</v>
      </c>
      <c r="J125" s="637" t="s">
        <v>1242</v>
      </c>
      <c r="K125" s="544" t="s">
        <v>1037</v>
      </c>
      <c r="L125" s="506"/>
      <c r="M125" s="582"/>
      <c r="N125" s="583"/>
      <c r="O125" s="639">
        <v>1</v>
      </c>
      <c r="P125" s="551" t="s">
        <v>78</v>
      </c>
      <c r="Q125" s="595">
        <f>F124*O125</f>
        <v>6.8536660512883213E-3</v>
      </c>
      <c r="R125" s="551">
        <v>0</v>
      </c>
      <c r="S125" s="647"/>
      <c r="T125" s="554"/>
      <c r="U125" s="551"/>
      <c r="V125" s="552"/>
      <c r="W125" s="553"/>
      <c r="X125" s="550" t="s">
        <v>78</v>
      </c>
      <c r="Y125" s="551"/>
      <c r="Z125" s="551"/>
      <c r="AA125" s="551"/>
      <c r="AB125" s="555"/>
      <c r="AC125" s="648"/>
      <c r="AD125" s="132"/>
      <c r="AE125" s="135"/>
      <c r="AF125" s="135"/>
      <c r="AG125" s="135"/>
    </row>
    <row r="126" spans="1:33" ht="15.75">
      <c r="A126" s="136"/>
      <c r="B126" s="526" t="s">
        <v>482</v>
      </c>
      <c r="C126" s="506"/>
      <c r="D126" s="897" t="s">
        <v>832</v>
      </c>
      <c r="E126" s="911"/>
      <c r="F126" s="753">
        <f>F124</f>
        <v>6.8536660512883213E-3</v>
      </c>
      <c r="G126" s="507" t="s">
        <v>1290</v>
      </c>
      <c r="H126" s="506"/>
      <c r="I126" s="646" t="s">
        <v>1288</v>
      </c>
      <c r="J126" s="506" t="s">
        <v>1288</v>
      </c>
      <c r="K126" s="544" t="s">
        <v>1329</v>
      </c>
      <c r="L126" s="506"/>
      <c r="M126" s="582"/>
      <c r="N126" s="583"/>
      <c r="O126" s="639">
        <v>1</v>
      </c>
      <c r="P126" s="551" t="s">
        <v>78</v>
      </c>
      <c r="Q126" s="595">
        <f t="shared" si="77"/>
        <v>6.8536660512883213E-3</v>
      </c>
      <c r="R126" s="551">
        <v>0</v>
      </c>
      <c r="S126" s="647"/>
      <c r="T126" s="554"/>
      <c r="U126" s="551"/>
      <c r="V126" s="552"/>
      <c r="W126" s="553"/>
      <c r="X126" s="550" t="s">
        <v>1035</v>
      </c>
      <c r="Y126" s="551"/>
      <c r="Z126" s="551"/>
      <c r="AA126" s="603">
        <v>0</v>
      </c>
      <c r="AB126" s="555">
        <f t="shared" si="78"/>
        <v>6.8536660512883213E-3</v>
      </c>
      <c r="AC126" s="648"/>
      <c r="AD126" s="132"/>
      <c r="AE126" s="135"/>
      <c r="AF126" s="135"/>
      <c r="AG126" s="135"/>
    </row>
    <row r="127" spans="1:33" ht="15.75">
      <c r="A127" s="136"/>
      <c r="B127" s="526" t="s">
        <v>483</v>
      </c>
      <c r="C127" s="506"/>
      <c r="D127" s="898"/>
      <c r="E127" s="911"/>
      <c r="F127" s="753">
        <f t="shared" ref="F127:F164" si="79">F125</f>
        <v>6.8536660512883213E-3</v>
      </c>
      <c r="G127" s="507" t="s">
        <v>1373</v>
      </c>
      <c r="H127" s="506"/>
      <c r="I127" s="636" t="s">
        <v>1242</v>
      </c>
      <c r="J127" s="637" t="s">
        <v>1242</v>
      </c>
      <c r="K127" s="544" t="s">
        <v>1037</v>
      </c>
      <c r="L127" s="506"/>
      <c r="M127" s="582"/>
      <c r="N127" s="583"/>
      <c r="O127" s="639">
        <v>1</v>
      </c>
      <c r="P127" s="551" t="s">
        <v>78</v>
      </c>
      <c r="Q127" s="595">
        <f t="shared" ref="Q127" si="80">F126*O127</f>
        <v>6.8536660512883213E-3</v>
      </c>
      <c r="R127" s="551">
        <v>0</v>
      </c>
      <c r="S127" s="647"/>
      <c r="T127" s="554"/>
      <c r="U127" s="551"/>
      <c r="V127" s="552"/>
      <c r="W127" s="553"/>
      <c r="X127" s="550" t="s">
        <v>78</v>
      </c>
      <c r="Y127" s="551"/>
      <c r="Z127" s="551"/>
      <c r="AA127" s="551"/>
      <c r="AB127" s="555"/>
      <c r="AC127" s="648"/>
      <c r="AD127" s="132"/>
      <c r="AE127" s="135"/>
      <c r="AF127" s="135"/>
      <c r="AG127" s="135"/>
    </row>
    <row r="128" spans="1:33" ht="15.75">
      <c r="A128" s="136"/>
      <c r="B128" s="526" t="s">
        <v>484</v>
      </c>
      <c r="C128" s="506"/>
      <c r="D128" s="897" t="s" ph="1">
        <v>834</v>
      </c>
      <c r="E128" s="911"/>
      <c r="F128" s="753">
        <f t="shared" si="79"/>
        <v>6.8536660512883213E-3</v>
      </c>
      <c r="G128" s="507" t="s">
        <v>1290</v>
      </c>
      <c r="H128" s="506"/>
      <c r="I128" s="646" t="s">
        <v>1327</v>
      </c>
      <c r="J128" s="506" t="s">
        <v>1327</v>
      </c>
      <c r="K128" s="544" t="s">
        <v>1329</v>
      </c>
      <c r="L128" s="506"/>
      <c r="M128" s="582"/>
      <c r="N128" s="583"/>
      <c r="O128" s="639">
        <v>1</v>
      </c>
      <c r="P128" s="551" t="s">
        <v>78</v>
      </c>
      <c r="Q128" s="595">
        <f t="shared" si="77"/>
        <v>6.8536660512883213E-3</v>
      </c>
      <c r="R128" s="551">
        <v>0</v>
      </c>
      <c r="S128" s="647"/>
      <c r="T128" s="554"/>
      <c r="U128" s="551"/>
      <c r="V128" s="552"/>
      <c r="W128" s="553"/>
      <c r="X128" s="550" t="s">
        <v>1035</v>
      </c>
      <c r="Y128" s="551"/>
      <c r="Z128" s="551"/>
      <c r="AA128" s="603">
        <v>0</v>
      </c>
      <c r="AB128" s="555">
        <f t="shared" si="78"/>
        <v>6.8536660512883213E-3</v>
      </c>
      <c r="AC128" s="648"/>
      <c r="AD128" s="132"/>
      <c r="AE128" s="135"/>
      <c r="AF128" s="135"/>
      <c r="AG128" s="135"/>
    </row>
    <row r="129" spans="1:33" ht="15.75">
      <c r="A129" s="136"/>
      <c r="B129" s="526" t="s">
        <v>485</v>
      </c>
      <c r="C129" s="506"/>
      <c r="D129" s="898"/>
      <c r="E129" s="911"/>
      <c r="F129" s="753">
        <f t="shared" si="79"/>
        <v>6.8536660512883213E-3</v>
      </c>
      <c r="G129" s="507" t="s">
        <v>1373</v>
      </c>
      <c r="H129" s="506"/>
      <c r="I129" s="636" t="s">
        <v>1242</v>
      </c>
      <c r="J129" s="637" t="s">
        <v>1242</v>
      </c>
      <c r="K129" s="544" t="s">
        <v>1037</v>
      </c>
      <c r="L129" s="506"/>
      <c r="M129" s="582"/>
      <c r="N129" s="583"/>
      <c r="O129" s="639">
        <v>1</v>
      </c>
      <c r="P129" s="551" t="s">
        <v>78</v>
      </c>
      <c r="Q129" s="595">
        <f t="shared" ref="Q129" si="81">F128*O129</f>
        <v>6.8536660512883213E-3</v>
      </c>
      <c r="R129" s="551">
        <v>0</v>
      </c>
      <c r="S129" s="647"/>
      <c r="T129" s="554"/>
      <c r="U129" s="551"/>
      <c r="V129" s="552"/>
      <c r="W129" s="553"/>
      <c r="X129" s="550" t="s">
        <v>78</v>
      </c>
      <c r="Y129" s="551"/>
      <c r="Z129" s="551"/>
      <c r="AA129" s="551"/>
      <c r="AB129" s="555"/>
      <c r="AC129" s="648"/>
      <c r="AD129" s="132"/>
      <c r="AE129" s="135"/>
      <c r="AF129" s="135"/>
      <c r="AG129" s="135"/>
    </row>
    <row r="130" spans="1:33" ht="15.75">
      <c r="A130" s="136"/>
      <c r="B130" s="526" t="s">
        <v>486</v>
      </c>
      <c r="C130" s="506"/>
      <c r="D130" s="897" t="s">
        <v>836</v>
      </c>
      <c r="E130" s="911"/>
      <c r="F130" s="753">
        <f t="shared" si="79"/>
        <v>6.8536660512883213E-3</v>
      </c>
      <c r="G130" s="507" t="s">
        <v>1290</v>
      </c>
      <c r="H130" s="506"/>
      <c r="I130" s="646" t="s">
        <v>1327</v>
      </c>
      <c r="J130" s="506" t="s">
        <v>1327</v>
      </c>
      <c r="K130" s="544" t="s">
        <v>1329</v>
      </c>
      <c r="L130" s="506"/>
      <c r="M130" s="582"/>
      <c r="N130" s="583"/>
      <c r="O130" s="639">
        <v>1</v>
      </c>
      <c r="P130" s="551" t="s">
        <v>78</v>
      </c>
      <c r="Q130" s="595">
        <f t="shared" si="77"/>
        <v>6.8536660512883213E-3</v>
      </c>
      <c r="R130" s="551">
        <v>0</v>
      </c>
      <c r="S130" s="647"/>
      <c r="T130" s="554"/>
      <c r="U130" s="551"/>
      <c r="V130" s="552"/>
      <c r="W130" s="553"/>
      <c r="X130" s="550" t="s">
        <v>1035</v>
      </c>
      <c r="Y130" s="551"/>
      <c r="Z130" s="551"/>
      <c r="AA130" s="603">
        <v>0</v>
      </c>
      <c r="AB130" s="555">
        <f t="shared" si="78"/>
        <v>6.8536660512883213E-3</v>
      </c>
      <c r="AC130" s="648"/>
      <c r="AD130" s="132"/>
      <c r="AE130" s="135"/>
      <c r="AF130" s="135"/>
      <c r="AG130" s="135"/>
    </row>
    <row r="131" spans="1:33" ht="15.75">
      <c r="A131" s="136"/>
      <c r="B131" s="526" t="s">
        <v>1325</v>
      </c>
      <c r="C131" s="506"/>
      <c r="D131" s="898"/>
      <c r="E131" s="911"/>
      <c r="F131" s="753">
        <f t="shared" si="79"/>
        <v>6.8536660512883213E-3</v>
      </c>
      <c r="G131" s="507" t="s">
        <v>1373</v>
      </c>
      <c r="H131" s="506"/>
      <c r="I131" s="636" t="s">
        <v>1242</v>
      </c>
      <c r="J131" s="637" t="s">
        <v>1242</v>
      </c>
      <c r="K131" s="544" t="s">
        <v>1037</v>
      </c>
      <c r="L131" s="506"/>
      <c r="M131" s="582"/>
      <c r="N131" s="583"/>
      <c r="O131" s="639">
        <v>1</v>
      </c>
      <c r="P131" s="551" t="s">
        <v>78</v>
      </c>
      <c r="Q131" s="595">
        <f t="shared" ref="Q131" si="82">F130*O131</f>
        <v>6.8536660512883213E-3</v>
      </c>
      <c r="R131" s="551">
        <v>0</v>
      </c>
      <c r="S131" s="647"/>
      <c r="T131" s="554"/>
      <c r="U131" s="551"/>
      <c r="V131" s="552"/>
      <c r="W131" s="553"/>
      <c r="X131" s="550" t="s">
        <v>78</v>
      </c>
      <c r="Y131" s="551"/>
      <c r="Z131" s="551"/>
      <c r="AA131" s="551"/>
      <c r="AB131" s="555"/>
      <c r="AC131" s="648"/>
      <c r="AD131" s="132"/>
      <c r="AE131" s="135"/>
      <c r="AF131" s="135"/>
      <c r="AG131" s="135"/>
    </row>
    <row r="132" spans="1:33" ht="15.75">
      <c r="A132" s="136"/>
      <c r="B132" s="526" t="s">
        <v>487</v>
      </c>
      <c r="C132" s="506"/>
      <c r="D132" s="897" t="s">
        <v>838</v>
      </c>
      <c r="E132" s="911"/>
      <c r="F132" s="753">
        <f t="shared" si="79"/>
        <v>6.8536660512883213E-3</v>
      </c>
      <c r="G132" s="507" t="s">
        <v>1290</v>
      </c>
      <c r="H132" s="506"/>
      <c r="I132" s="646" t="s">
        <v>1327</v>
      </c>
      <c r="J132" s="506" t="s">
        <v>1327</v>
      </c>
      <c r="K132" s="544" t="s">
        <v>1329</v>
      </c>
      <c r="L132" s="506"/>
      <c r="M132" s="582"/>
      <c r="N132" s="583"/>
      <c r="O132" s="639">
        <v>1</v>
      </c>
      <c r="P132" s="551" t="s">
        <v>78</v>
      </c>
      <c r="Q132" s="595">
        <f t="shared" si="77"/>
        <v>6.8536660512883213E-3</v>
      </c>
      <c r="R132" s="551">
        <v>0</v>
      </c>
      <c r="S132" s="647"/>
      <c r="T132" s="554"/>
      <c r="U132" s="551"/>
      <c r="V132" s="552"/>
      <c r="W132" s="553"/>
      <c r="X132" s="550" t="s">
        <v>1035</v>
      </c>
      <c r="Y132" s="551"/>
      <c r="Z132" s="551"/>
      <c r="AA132" s="603">
        <v>0</v>
      </c>
      <c r="AB132" s="555">
        <f t="shared" si="78"/>
        <v>6.8536660512883213E-3</v>
      </c>
      <c r="AC132" s="648"/>
      <c r="AD132" s="132"/>
      <c r="AE132" s="135"/>
      <c r="AF132" s="135"/>
      <c r="AG132" s="135"/>
    </row>
    <row r="133" spans="1:33" ht="15.75">
      <c r="A133" s="136"/>
      <c r="B133" s="526" t="s">
        <v>488</v>
      </c>
      <c r="C133" s="506"/>
      <c r="D133" s="898"/>
      <c r="E133" s="911"/>
      <c r="F133" s="753">
        <f t="shared" si="79"/>
        <v>6.8536660512883213E-3</v>
      </c>
      <c r="G133" s="507" t="s">
        <v>1373</v>
      </c>
      <c r="H133" s="506"/>
      <c r="I133" s="636" t="s">
        <v>1242</v>
      </c>
      <c r="J133" s="637" t="s">
        <v>1242</v>
      </c>
      <c r="K133" s="544" t="s">
        <v>1037</v>
      </c>
      <c r="L133" s="506"/>
      <c r="M133" s="582"/>
      <c r="N133" s="583"/>
      <c r="O133" s="639">
        <v>1</v>
      </c>
      <c r="P133" s="551" t="s">
        <v>78</v>
      </c>
      <c r="Q133" s="595">
        <f t="shared" ref="Q133" si="83">F132*O133</f>
        <v>6.8536660512883213E-3</v>
      </c>
      <c r="R133" s="551">
        <v>0</v>
      </c>
      <c r="S133" s="647"/>
      <c r="T133" s="554"/>
      <c r="U133" s="551"/>
      <c r="V133" s="552"/>
      <c r="W133" s="553"/>
      <c r="X133" s="550" t="s">
        <v>78</v>
      </c>
      <c r="Y133" s="551"/>
      <c r="Z133" s="551"/>
      <c r="AA133" s="551"/>
      <c r="AB133" s="555"/>
      <c r="AC133" s="648"/>
      <c r="AD133" s="132"/>
      <c r="AE133" s="135"/>
      <c r="AF133" s="135"/>
      <c r="AG133" s="135"/>
    </row>
    <row r="134" spans="1:33" ht="15.75">
      <c r="A134" s="136"/>
      <c r="B134" s="526" t="s">
        <v>489</v>
      </c>
      <c r="C134" s="506"/>
      <c r="D134" s="897" t="s">
        <v>840</v>
      </c>
      <c r="E134" s="911"/>
      <c r="F134" s="753">
        <f t="shared" si="79"/>
        <v>6.8536660512883213E-3</v>
      </c>
      <c r="G134" s="507" t="s">
        <v>1290</v>
      </c>
      <c r="H134" s="506"/>
      <c r="I134" s="646" t="s">
        <v>1288</v>
      </c>
      <c r="J134" s="506" t="s">
        <v>1288</v>
      </c>
      <c r="K134" s="544" t="s">
        <v>1329</v>
      </c>
      <c r="L134" s="506"/>
      <c r="M134" s="582"/>
      <c r="N134" s="583"/>
      <c r="O134" s="639">
        <v>1</v>
      </c>
      <c r="P134" s="551" t="s">
        <v>78</v>
      </c>
      <c r="Q134" s="595">
        <f t="shared" si="77"/>
        <v>6.8536660512883213E-3</v>
      </c>
      <c r="R134" s="551">
        <v>0</v>
      </c>
      <c r="S134" s="647"/>
      <c r="T134" s="554"/>
      <c r="U134" s="551"/>
      <c r="V134" s="552"/>
      <c r="W134" s="553"/>
      <c r="X134" s="550" t="s">
        <v>1035</v>
      </c>
      <c r="Y134" s="551"/>
      <c r="Z134" s="551"/>
      <c r="AA134" s="603">
        <v>0</v>
      </c>
      <c r="AB134" s="555">
        <f t="shared" si="78"/>
        <v>6.8536660512883213E-3</v>
      </c>
      <c r="AC134" s="648"/>
      <c r="AD134" s="132"/>
      <c r="AE134" s="135"/>
      <c r="AF134" s="135"/>
      <c r="AG134" s="135"/>
    </row>
    <row r="135" spans="1:33" ht="15.75">
      <c r="A135" s="136"/>
      <c r="B135" s="526" t="s">
        <v>490</v>
      </c>
      <c r="C135" s="506"/>
      <c r="D135" s="898"/>
      <c r="E135" s="911"/>
      <c r="F135" s="753">
        <f t="shared" si="79"/>
        <v>6.8536660512883213E-3</v>
      </c>
      <c r="G135" s="507" t="s">
        <v>1373</v>
      </c>
      <c r="H135" s="506"/>
      <c r="I135" s="636" t="s">
        <v>1242</v>
      </c>
      <c r="J135" s="637" t="s">
        <v>1242</v>
      </c>
      <c r="K135" s="544" t="s">
        <v>1037</v>
      </c>
      <c r="L135" s="506"/>
      <c r="M135" s="582"/>
      <c r="N135" s="583"/>
      <c r="O135" s="639">
        <v>1</v>
      </c>
      <c r="P135" s="551" t="s">
        <v>78</v>
      </c>
      <c r="Q135" s="595">
        <f t="shared" ref="Q135" si="84">F134*O135</f>
        <v>6.8536660512883213E-3</v>
      </c>
      <c r="R135" s="551">
        <v>0</v>
      </c>
      <c r="S135" s="647"/>
      <c r="T135" s="554"/>
      <c r="U135" s="551"/>
      <c r="V135" s="552"/>
      <c r="W135" s="553"/>
      <c r="X135" s="550" t="s">
        <v>78</v>
      </c>
      <c r="Y135" s="551"/>
      <c r="Z135" s="551"/>
      <c r="AA135" s="551"/>
      <c r="AB135" s="555"/>
      <c r="AC135" s="648"/>
      <c r="AD135" s="132"/>
      <c r="AE135" s="135"/>
      <c r="AF135" s="135"/>
      <c r="AG135" s="135"/>
    </row>
    <row r="136" spans="1:33" ht="15.75">
      <c r="A136" s="136"/>
      <c r="B136" s="526" t="s">
        <v>491</v>
      </c>
      <c r="C136" s="506"/>
      <c r="D136" s="897" t="s">
        <v>842</v>
      </c>
      <c r="E136" s="911"/>
      <c r="F136" s="753">
        <f t="shared" si="79"/>
        <v>6.8536660512883213E-3</v>
      </c>
      <c r="G136" s="507" t="s">
        <v>1290</v>
      </c>
      <c r="H136" s="506"/>
      <c r="I136" s="646" t="s">
        <v>1328</v>
      </c>
      <c r="J136" s="544" t="s">
        <v>1401</v>
      </c>
      <c r="K136" s="544" t="s">
        <v>1329</v>
      </c>
      <c r="L136" s="506"/>
      <c r="M136" s="582"/>
      <c r="N136" s="583"/>
      <c r="O136" s="639">
        <v>1</v>
      </c>
      <c r="P136" s="551" t="s">
        <v>78</v>
      </c>
      <c r="Q136" s="595">
        <f t="shared" si="77"/>
        <v>6.8536660512883213E-3</v>
      </c>
      <c r="R136" s="551">
        <v>0</v>
      </c>
      <c r="S136" s="647"/>
      <c r="T136" s="554"/>
      <c r="U136" s="551"/>
      <c r="V136" s="552"/>
      <c r="W136" s="553"/>
      <c r="X136" s="550" t="s">
        <v>1035</v>
      </c>
      <c r="Y136" s="551" t="s">
        <v>844</v>
      </c>
      <c r="Z136" s="551"/>
      <c r="AA136" s="603">
        <v>0.8</v>
      </c>
      <c r="AB136" s="555">
        <f t="shared" si="78"/>
        <v>1.370733210257664E-3</v>
      </c>
      <c r="AC136" s="648"/>
      <c r="AD136" s="132"/>
      <c r="AE136" s="135"/>
      <c r="AF136" s="135"/>
      <c r="AG136" s="135"/>
    </row>
    <row r="137" spans="1:33" ht="15.75">
      <c r="A137" s="136"/>
      <c r="B137" s="526" t="s">
        <v>492</v>
      </c>
      <c r="C137" s="506"/>
      <c r="D137" s="898"/>
      <c r="E137" s="911"/>
      <c r="F137" s="753">
        <f t="shared" si="79"/>
        <v>6.8536660512883213E-3</v>
      </c>
      <c r="G137" s="507" t="s">
        <v>1373</v>
      </c>
      <c r="H137" s="506"/>
      <c r="I137" s="636" t="s">
        <v>1242</v>
      </c>
      <c r="J137" s="637" t="s">
        <v>1242</v>
      </c>
      <c r="K137" s="544" t="s">
        <v>1037</v>
      </c>
      <c r="L137" s="506"/>
      <c r="M137" s="582"/>
      <c r="N137" s="583"/>
      <c r="O137" s="639">
        <v>1</v>
      </c>
      <c r="P137" s="551" t="s">
        <v>78</v>
      </c>
      <c r="Q137" s="595">
        <f t="shared" ref="Q137" si="85">F136*O137</f>
        <v>6.8536660512883213E-3</v>
      </c>
      <c r="R137" s="551">
        <v>0</v>
      </c>
      <c r="S137" s="647"/>
      <c r="T137" s="554"/>
      <c r="U137" s="551"/>
      <c r="V137" s="552"/>
      <c r="W137" s="553"/>
      <c r="X137" s="550" t="s">
        <v>78</v>
      </c>
      <c r="Y137" s="551"/>
      <c r="Z137" s="551"/>
      <c r="AA137" s="551"/>
      <c r="AB137" s="555"/>
      <c r="AC137" s="648"/>
      <c r="AD137" s="132"/>
      <c r="AE137" s="135"/>
      <c r="AF137" s="135"/>
      <c r="AG137" s="135"/>
    </row>
    <row r="138" spans="1:33" ht="15.75">
      <c r="A138" s="136"/>
      <c r="B138" s="526" t="s">
        <v>493</v>
      </c>
      <c r="C138" s="506"/>
      <c r="D138" s="897" t="s">
        <v>844</v>
      </c>
      <c r="E138" s="911"/>
      <c r="F138" s="753">
        <f t="shared" si="79"/>
        <v>6.8536660512883213E-3</v>
      </c>
      <c r="G138" s="507" t="s">
        <v>1290</v>
      </c>
      <c r="H138" s="506"/>
      <c r="I138" s="646" t="s">
        <v>1328</v>
      </c>
      <c r="J138" s="544" t="s">
        <v>1401</v>
      </c>
      <c r="K138" s="544" t="s">
        <v>1329</v>
      </c>
      <c r="L138" s="506"/>
      <c r="M138" s="582"/>
      <c r="N138" s="583"/>
      <c r="O138" s="639">
        <v>1</v>
      </c>
      <c r="P138" s="551" t="s">
        <v>78</v>
      </c>
      <c r="Q138" s="595">
        <f t="shared" si="77"/>
        <v>6.8536660512883213E-3</v>
      </c>
      <c r="R138" s="551">
        <v>0</v>
      </c>
      <c r="S138" s="647"/>
      <c r="T138" s="554"/>
      <c r="U138" s="551"/>
      <c r="V138" s="552"/>
      <c r="W138" s="553"/>
      <c r="X138" s="550" t="s">
        <v>1035</v>
      </c>
      <c r="Y138" s="551"/>
      <c r="Z138" s="551"/>
      <c r="AA138" s="603">
        <v>0</v>
      </c>
      <c r="AB138" s="555">
        <f t="shared" si="78"/>
        <v>6.8536660512883213E-3</v>
      </c>
      <c r="AC138" s="648"/>
      <c r="AD138" s="132"/>
      <c r="AE138" s="135"/>
      <c r="AF138" s="135"/>
      <c r="AG138" s="135"/>
    </row>
    <row r="139" spans="1:33" ht="15.75">
      <c r="A139" s="136"/>
      <c r="B139" s="526" t="s">
        <v>494</v>
      </c>
      <c r="C139" s="506"/>
      <c r="D139" s="898"/>
      <c r="E139" s="911"/>
      <c r="F139" s="753">
        <f t="shared" si="79"/>
        <v>6.8536660512883213E-3</v>
      </c>
      <c r="G139" s="507" t="s">
        <v>1373</v>
      </c>
      <c r="H139" s="506"/>
      <c r="I139" s="636" t="s">
        <v>1242</v>
      </c>
      <c r="J139" s="637" t="s">
        <v>1242</v>
      </c>
      <c r="K139" s="544" t="s">
        <v>1037</v>
      </c>
      <c r="L139" s="506"/>
      <c r="M139" s="582"/>
      <c r="N139" s="583"/>
      <c r="O139" s="639">
        <v>1</v>
      </c>
      <c r="P139" s="551" t="s">
        <v>78</v>
      </c>
      <c r="Q139" s="595">
        <f t="shared" ref="Q139" si="86">F138*O139</f>
        <v>6.8536660512883213E-3</v>
      </c>
      <c r="R139" s="551">
        <v>0</v>
      </c>
      <c r="S139" s="647"/>
      <c r="T139" s="554"/>
      <c r="U139" s="551"/>
      <c r="V139" s="552"/>
      <c r="W139" s="553"/>
      <c r="X139" s="550" t="s">
        <v>78</v>
      </c>
      <c r="Y139" s="551"/>
      <c r="Z139" s="551"/>
      <c r="AA139" s="551"/>
      <c r="AB139" s="555"/>
      <c r="AC139" s="648"/>
      <c r="AD139" s="132"/>
      <c r="AE139" s="135"/>
      <c r="AF139" s="135"/>
      <c r="AG139" s="135"/>
    </row>
    <row r="140" spans="1:33" ht="15.75">
      <c r="A140" s="136"/>
      <c r="B140" s="526" t="s">
        <v>495</v>
      </c>
      <c r="C140" s="506"/>
      <c r="D140" s="897" t="s">
        <v>845</v>
      </c>
      <c r="E140" s="911"/>
      <c r="F140" s="753">
        <f t="shared" si="79"/>
        <v>6.8536660512883213E-3</v>
      </c>
      <c r="G140" s="507" t="s">
        <v>1290</v>
      </c>
      <c r="H140" s="506"/>
      <c r="I140" s="646" t="s">
        <v>1328</v>
      </c>
      <c r="J140" s="544" t="s">
        <v>1401</v>
      </c>
      <c r="K140" s="544" t="s">
        <v>1329</v>
      </c>
      <c r="L140" s="506"/>
      <c r="M140" s="582"/>
      <c r="N140" s="583"/>
      <c r="O140" s="639">
        <v>1</v>
      </c>
      <c r="P140" s="551" t="s">
        <v>78</v>
      </c>
      <c r="Q140" s="595">
        <f t="shared" si="77"/>
        <v>6.8536660512883213E-3</v>
      </c>
      <c r="R140" s="551">
        <v>0</v>
      </c>
      <c r="S140" s="647"/>
      <c r="T140" s="554"/>
      <c r="U140" s="551"/>
      <c r="V140" s="552"/>
      <c r="W140" s="553"/>
      <c r="X140" s="550" t="s">
        <v>1035</v>
      </c>
      <c r="Y140" s="551"/>
      <c r="Z140" s="551"/>
      <c r="AA140" s="603">
        <v>0</v>
      </c>
      <c r="AB140" s="555">
        <f t="shared" si="78"/>
        <v>6.8536660512883213E-3</v>
      </c>
      <c r="AC140" s="648"/>
      <c r="AD140" s="132"/>
      <c r="AE140" s="135"/>
      <c r="AF140" s="135"/>
      <c r="AG140" s="135"/>
    </row>
    <row r="141" spans="1:33" ht="15.75">
      <c r="A141" s="136"/>
      <c r="B141" s="526" t="s">
        <v>496</v>
      </c>
      <c r="C141" s="506"/>
      <c r="D141" s="898"/>
      <c r="E141" s="911"/>
      <c r="F141" s="753">
        <f t="shared" si="79"/>
        <v>6.8536660512883213E-3</v>
      </c>
      <c r="G141" s="507" t="s">
        <v>1373</v>
      </c>
      <c r="H141" s="506"/>
      <c r="I141" s="636" t="s">
        <v>1242</v>
      </c>
      <c r="J141" s="637" t="s">
        <v>1242</v>
      </c>
      <c r="K141" s="544" t="s">
        <v>1037</v>
      </c>
      <c r="L141" s="506"/>
      <c r="M141" s="582"/>
      <c r="N141" s="583"/>
      <c r="O141" s="639">
        <v>1</v>
      </c>
      <c r="P141" s="551" t="s">
        <v>78</v>
      </c>
      <c r="Q141" s="595">
        <f t="shared" ref="Q141" si="87">F140*O141</f>
        <v>6.8536660512883213E-3</v>
      </c>
      <c r="R141" s="551">
        <v>0</v>
      </c>
      <c r="S141" s="647"/>
      <c r="T141" s="554"/>
      <c r="U141" s="551"/>
      <c r="V141" s="552"/>
      <c r="W141" s="553"/>
      <c r="X141" s="550" t="s">
        <v>78</v>
      </c>
      <c r="Y141" s="551"/>
      <c r="Z141" s="551"/>
      <c r="AA141" s="551"/>
      <c r="AB141" s="555"/>
      <c r="AC141" s="648"/>
      <c r="AD141" s="132"/>
      <c r="AE141" s="135"/>
      <c r="AF141" s="135"/>
      <c r="AG141" s="135"/>
    </row>
    <row r="142" spans="1:33" ht="15.75">
      <c r="A142" s="136"/>
      <c r="B142" s="526" t="s">
        <v>497</v>
      </c>
      <c r="C142" s="506"/>
      <c r="D142" s="897" t="s">
        <v>847</v>
      </c>
      <c r="E142" s="911"/>
      <c r="F142" s="753">
        <f t="shared" si="79"/>
        <v>6.8536660512883213E-3</v>
      </c>
      <c r="G142" s="507" t="s">
        <v>1290</v>
      </c>
      <c r="H142" s="506"/>
      <c r="I142" s="646" t="s">
        <v>1334</v>
      </c>
      <c r="J142" s="637" t="s">
        <v>1242</v>
      </c>
      <c r="K142" s="544" t="s">
        <v>1329</v>
      </c>
      <c r="L142" s="506"/>
      <c r="M142" s="582"/>
      <c r="N142" s="583"/>
      <c r="O142" s="639">
        <v>1</v>
      </c>
      <c r="P142" s="551" t="s">
        <v>78</v>
      </c>
      <c r="Q142" s="595">
        <f t="shared" si="77"/>
        <v>6.8536660512883213E-3</v>
      </c>
      <c r="R142" s="551">
        <v>0</v>
      </c>
      <c r="S142" s="647"/>
      <c r="T142" s="554"/>
      <c r="U142" s="551"/>
      <c r="V142" s="552"/>
      <c r="W142" s="553"/>
      <c r="X142" s="550" t="s">
        <v>1035</v>
      </c>
      <c r="Y142" s="551"/>
      <c r="Z142" s="551"/>
      <c r="AA142" s="603">
        <v>0</v>
      </c>
      <c r="AB142" s="555">
        <f t="shared" si="78"/>
        <v>6.8536660512883213E-3</v>
      </c>
      <c r="AC142" s="648"/>
      <c r="AD142" s="132"/>
      <c r="AE142" s="135"/>
      <c r="AF142" s="135"/>
      <c r="AG142" s="135"/>
    </row>
    <row r="143" spans="1:33" ht="15.75">
      <c r="A143" s="136"/>
      <c r="B143" s="526" t="s">
        <v>1363</v>
      </c>
      <c r="C143" s="506"/>
      <c r="D143" s="898"/>
      <c r="E143" s="911"/>
      <c r="F143" s="753">
        <f t="shared" si="79"/>
        <v>6.8536660512883213E-3</v>
      </c>
      <c r="G143" s="507" t="s">
        <v>1373</v>
      </c>
      <c r="H143" s="506"/>
      <c r="I143" s="636" t="s">
        <v>1242</v>
      </c>
      <c r="J143" s="637" t="s">
        <v>1242</v>
      </c>
      <c r="K143" s="544" t="s">
        <v>1037</v>
      </c>
      <c r="L143" s="506"/>
      <c r="M143" s="582"/>
      <c r="N143" s="583"/>
      <c r="O143" s="639">
        <v>1</v>
      </c>
      <c r="P143" s="551" t="s">
        <v>78</v>
      </c>
      <c r="Q143" s="595">
        <f t="shared" ref="Q143" si="88">F142*O143</f>
        <v>6.8536660512883213E-3</v>
      </c>
      <c r="R143" s="551">
        <v>0</v>
      </c>
      <c r="S143" s="647"/>
      <c r="T143" s="554"/>
      <c r="U143" s="551"/>
      <c r="V143" s="552"/>
      <c r="W143" s="553"/>
      <c r="X143" s="550" t="s">
        <v>78</v>
      </c>
      <c r="Y143" s="551"/>
      <c r="Z143" s="551"/>
      <c r="AA143" s="551"/>
      <c r="AB143" s="555"/>
      <c r="AC143" s="648"/>
      <c r="AD143" s="132"/>
      <c r="AE143" s="135"/>
      <c r="AF143" s="135"/>
      <c r="AG143" s="135"/>
    </row>
    <row r="144" spans="1:33" ht="31.5">
      <c r="A144" s="136"/>
      <c r="B144" s="526" t="s">
        <v>1374</v>
      </c>
      <c r="C144" s="506"/>
      <c r="D144" s="897" t="s">
        <v>849</v>
      </c>
      <c r="E144" s="911"/>
      <c r="F144" s="753">
        <f t="shared" si="79"/>
        <v>6.8536660512883213E-3</v>
      </c>
      <c r="G144" s="507" t="s">
        <v>1290</v>
      </c>
      <c r="H144" s="506"/>
      <c r="I144" s="646" t="s">
        <v>1330</v>
      </c>
      <c r="J144" s="756" t="s">
        <v>1330</v>
      </c>
      <c r="K144" s="544" t="s">
        <v>1329</v>
      </c>
      <c r="L144" s="506"/>
      <c r="M144" s="582"/>
      <c r="N144" s="583"/>
      <c r="O144" s="639">
        <v>1</v>
      </c>
      <c r="P144" s="551" t="s">
        <v>78</v>
      </c>
      <c r="Q144" s="595">
        <f t="shared" si="77"/>
        <v>6.8536660512883213E-3</v>
      </c>
      <c r="R144" s="551">
        <v>0</v>
      </c>
      <c r="S144" s="647"/>
      <c r="T144" s="554"/>
      <c r="U144" s="551"/>
      <c r="V144" s="552"/>
      <c r="W144" s="553"/>
      <c r="X144" s="550" t="s">
        <v>1035</v>
      </c>
      <c r="Y144" s="551"/>
      <c r="Z144" s="551"/>
      <c r="AA144" s="603">
        <v>0</v>
      </c>
      <c r="AB144" s="555">
        <f t="shared" si="78"/>
        <v>6.8536660512883213E-3</v>
      </c>
      <c r="AC144" s="648"/>
      <c r="AD144" s="132"/>
      <c r="AE144" s="135"/>
      <c r="AF144" s="135"/>
      <c r="AG144" s="135"/>
    </row>
    <row r="145" spans="1:33" ht="15.75">
      <c r="A145" s="136"/>
      <c r="B145" s="526" t="s">
        <v>1375</v>
      </c>
      <c r="C145" s="506"/>
      <c r="D145" s="898"/>
      <c r="E145" s="911"/>
      <c r="F145" s="753">
        <f t="shared" si="79"/>
        <v>6.8536660512883213E-3</v>
      </c>
      <c r="G145" s="507" t="s">
        <v>1373</v>
      </c>
      <c r="H145" s="506"/>
      <c r="I145" s="636" t="s">
        <v>1242</v>
      </c>
      <c r="J145" s="637" t="s">
        <v>1242</v>
      </c>
      <c r="K145" s="544" t="s">
        <v>1037</v>
      </c>
      <c r="L145" s="506"/>
      <c r="M145" s="582"/>
      <c r="N145" s="583"/>
      <c r="O145" s="639">
        <v>1</v>
      </c>
      <c r="P145" s="551" t="s">
        <v>78</v>
      </c>
      <c r="Q145" s="595">
        <f t="shared" ref="Q145" si="89">F144*O145</f>
        <v>6.8536660512883213E-3</v>
      </c>
      <c r="R145" s="551">
        <v>0</v>
      </c>
      <c r="S145" s="647"/>
      <c r="T145" s="554"/>
      <c r="U145" s="551"/>
      <c r="V145" s="552"/>
      <c r="W145" s="553"/>
      <c r="X145" s="550" t="s">
        <v>78</v>
      </c>
      <c r="Y145" s="551"/>
      <c r="Z145" s="551"/>
      <c r="AA145" s="551"/>
      <c r="AB145" s="555"/>
      <c r="AC145" s="648"/>
      <c r="AD145" s="132"/>
      <c r="AE145" s="135"/>
      <c r="AF145" s="135"/>
      <c r="AG145" s="135"/>
    </row>
    <row r="146" spans="1:33" ht="15.75">
      <c r="A146" s="136"/>
      <c r="B146" s="526" t="s">
        <v>1376</v>
      </c>
      <c r="C146" s="506"/>
      <c r="D146" s="897" t="s">
        <v>851</v>
      </c>
      <c r="E146" s="911"/>
      <c r="F146" s="753">
        <f t="shared" si="79"/>
        <v>6.8536660512883213E-3</v>
      </c>
      <c r="G146" s="507" t="s">
        <v>1290</v>
      </c>
      <c r="H146" s="506"/>
      <c r="I146" s="646" t="s">
        <v>1288</v>
      </c>
      <c r="J146" s="506" t="s">
        <v>1288</v>
      </c>
      <c r="K146" s="544" t="s">
        <v>1329</v>
      </c>
      <c r="L146" s="506"/>
      <c r="M146" s="582"/>
      <c r="N146" s="583"/>
      <c r="O146" s="639">
        <v>1</v>
      </c>
      <c r="P146" s="551" t="s">
        <v>78</v>
      </c>
      <c r="Q146" s="595">
        <f t="shared" si="77"/>
        <v>6.8536660512883213E-3</v>
      </c>
      <c r="R146" s="551">
        <v>0</v>
      </c>
      <c r="S146" s="647"/>
      <c r="T146" s="554"/>
      <c r="U146" s="551"/>
      <c r="V146" s="552"/>
      <c r="W146" s="553"/>
      <c r="X146" s="550" t="s">
        <v>1035</v>
      </c>
      <c r="Y146" s="551"/>
      <c r="Z146" s="551"/>
      <c r="AA146" s="603">
        <v>0</v>
      </c>
      <c r="AB146" s="555">
        <f t="shared" si="78"/>
        <v>6.8536660512883213E-3</v>
      </c>
      <c r="AC146" s="648"/>
      <c r="AD146" s="132"/>
      <c r="AE146" s="135"/>
      <c r="AF146" s="135"/>
      <c r="AG146" s="135"/>
    </row>
    <row r="147" spans="1:33" ht="15.75">
      <c r="A147" s="136"/>
      <c r="B147" s="526" t="s">
        <v>1377</v>
      </c>
      <c r="C147" s="506"/>
      <c r="D147" s="898"/>
      <c r="E147" s="911"/>
      <c r="F147" s="753">
        <f t="shared" si="79"/>
        <v>6.8536660512883213E-3</v>
      </c>
      <c r="G147" s="507" t="s">
        <v>1373</v>
      </c>
      <c r="H147" s="506"/>
      <c r="I147" s="636" t="s">
        <v>1242</v>
      </c>
      <c r="J147" s="637" t="s">
        <v>1242</v>
      </c>
      <c r="K147" s="544" t="s">
        <v>1037</v>
      </c>
      <c r="L147" s="506"/>
      <c r="M147" s="582"/>
      <c r="N147" s="583"/>
      <c r="O147" s="639">
        <v>1</v>
      </c>
      <c r="P147" s="551" t="s">
        <v>78</v>
      </c>
      <c r="Q147" s="595">
        <f t="shared" ref="Q147" si="90">F146*O147</f>
        <v>6.8536660512883213E-3</v>
      </c>
      <c r="R147" s="551">
        <v>0</v>
      </c>
      <c r="S147" s="647"/>
      <c r="T147" s="554"/>
      <c r="U147" s="551"/>
      <c r="V147" s="552"/>
      <c r="W147" s="553"/>
      <c r="X147" s="550" t="s">
        <v>78</v>
      </c>
      <c r="Y147" s="551"/>
      <c r="Z147" s="551"/>
      <c r="AA147" s="551"/>
      <c r="AB147" s="555"/>
      <c r="AC147" s="648"/>
      <c r="AD147" s="132"/>
      <c r="AE147" s="135"/>
      <c r="AF147" s="135"/>
      <c r="AG147" s="135"/>
    </row>
    <row r="148" spans="1:33" ht="31.5">
      <c r="A148" s="136"/>
      <c r="B148" s="526" t="s">
        <v>1378</v>
      </c>
      <c r="C148" s="506"/>
      <c r="D148" s="897" t="s">
        <v>853</v>
      </c>
      <c r="E148" s="911"/>
      <c r="F148" s="753">
        <f t="shared" si="79"/>
        <v>6.8536660512883213E-3</v>
      </c>
      <c r="G148" s="507" t="s">
        <v>1290</v>
      </c>
      <c r="H148" s="506"/>
      <c r="I148" s="646" t="s">
        <v>1335</v>
      </c>
      <c r="J148" s="544" t="s">
        <v>1405</v>
      </c>
      <c r="K148" s="544" t="s">
        <v>1329</v>
      </c>
      <c r="L148" s="506"/>
      <c r="M148" s="582"/>
      <c r="N148" s="583"/>
      <c r="O148" s="639">
        <v>1</v>
      </c>
      <c r="P148" s="551" t="s">
        <v>78</v>
      </c>
      <c r="Q148" s="595">
        <f t="shared" si="77"/>
        <v>6.8536660512883213E-3</v>
      </c>
      <c r="R148" s="551">
        <v>0</v>
      </c>
      <c r="S148" s="647"/>
      <c r="T148" s="554"/>
      <c r="U148" s="551"/>
      <c r="V148" s="552"/>
      <c r="W148" s="553"/>
      <c r="X148" s="550" t="s">
        <v>1035</v>
      </c>
      <c r="Y148" s="551"/>
      <c r="Z148" s="551"/>
      <c r="AA148" s="603">
        <v>0</v>
      </c>
      <c r="AB148" s="555">
        <f t="shared" si="78"/>
        <v>6.8536660512883213E-3</v>
      </c>
      <c r="AC148" s="648"/>
      <c r="AD148" s="132"/>
      <c r="AE148" s="135"/>
      <c r="AF148" s="135"/>
      <c r="AG148" s="135"/>
    </row>
    <row r="149" spans="1:33" ht="15.75">
      <c r="A149" s="136"/>
      <c r="B149" s="526" t="s">
        <v>1379</v>
      </c>
      <c r="C149" s="506"/>
      <c r="D149" s="898"/>
      <c r="E149" s="911"/>
      <c r="F149" s="753">
        <f t="shared" si="79"/>
        <v>6.8536660512883213E-3</v>
      </c>
      <c r="G149" s="507" t="s">
        <v>1373</v>
      </c>
      <c r="H149" s="506"/>
      <c r="I149" s="636" t="s">
        <v>1242</v>
      </c>
      <c r="J149" s="637" t="s">
        <v>1242</v>
      </c>
      <c r="K149" s="544" t="s">
        <v>1037</v>
      </c>
      <c r="L149" s="506"/>
      <c r="M149" s="582"/>
      <c r="N149" s="583"/>
      <c r="O149" s="639">
        <v>1</v>
      </c>
      <c r="P149" s="551" t="s">
        <v>78</v>
      </c>
      <c r="Q149" s="595">
        <f t="shared" ref="Q149" si="91">F148*O149</f>
        <v>6.8536660512883213E-3</v>
      </c>
      <c r="R149" s="551">
        <v>0</v>
      </c>
      <c r="S149" s="647"/>
      <c r="T149" s="554"/>
      <c r="U149" s="551"/>
      <c r="V149" s="552"/>
      <c r="W149" s="553"/>
      <c r="X149" s="550" t="s">
        <v>78</v>
      </c>
      <c r="Y149" s="551"/>
      <c r="Z149" s="551"/>
      <c r="AA149" s="551"/>
      <c r="AB149" s="555"/>
      <c r="AC149" s="648"/>
      <c r="AD149" s="132"/>
      <c r="AE149" s="135"/>
      <c r="AF149" s="135"/>
      <c r="AG149" s="135"/>
    </row>
    <row r="150" spans="1:33" ht="15.75">
      <c r="A150" s="136"/>
      <c r="B150" s="526" t="s">
        <v>1380</v>
      </c>
      <c r="C150" s="506"/>
      <c r="D150" s="897" t="s">
        <v>855</v>
      </c>
      <c r="E150" s="911"/>
      <c r="F150" s="753">
        <f t="shared" si="79"/>
        <v>6.8536660512883213E-3</v>
      </c>
      <c r="G150" s="507" t="s">
        <v>1290</v>
      </c>
      <c r="H150" s="506"/>
      <c r="I150" s="646" t="s">
        <v>1336</v>
      </c>
      <c r="J150" s="544" t="s">
        <v>1242</v>
      </c>
      <c r="K150" s="544" t="s">
        <v>1329</v>
      </c>
      <c r="L150" s="506"/>
      <c r="M150" s="582"/>
      <c r="N150" s="583"/>
      <c r="O150" s="639">
        <v>1</v>
      </c>
      <c r="P150" s="551" t="s">
        <v>78</v>
      </c>
      <c r="Q150" s="595">
        <f t="shared" si="77"/>
        <v>6.8536660512883213E-3</v>
      </c>
      <c r="R150" s="551">
        <v>0</v>
      </c>
      <c r="S150" s="647"/>
      <c r="T150" s="554"/>
      <c r="U150" s="551"/>
      <c r="V150" s="552"/>
      <c r="W150" s="553"/>
      <c r="X150" s="550" t="s">
        <v>1035</v>
      </c>
      <c r="Y150" s="551"/>
      <c r="Z150" s="551"/>
      <c r="AA150" s="603">
        <v>0</v>
      </c>
      <c r="AB150" s="555">
        <f t="shared" si="78"/>
        <v>6.8536660512883213E-3</v>
      </c>
      <c r="AC150" s="648"/>
      <c r="AD150" s="132"/>
      <c r="AE150" s="135"/>
      <c r="AF150" s="135"/>
      <c r="AG150" s="135"/>
    </row>
    <row r="151" spans="1:33" ht="15.75">
      <c r="A151" s="136"/>
      <c r="B151" s="526" t="s">
        <v>1381</v>
      </c>
      <c r="C151" s="506"/>
      <c r="D151" s="898"/>
      <c r="E151" s="911"/>
      <c r="F151" s="753">
        <f t="shared" si="79"/>
        <v>6.8536660512883213E-3</v>
      </c>
      <c r="G151" s="507" t="s">
        <v>1373</v>
      </c>
      <c r="H151" s="506"/>
      <c r="I151" s="636" t="s">
        <v>1242</v>
      </c>
      <c r="J151" s="637" t="s">
        <v>1242</v>
      </c>
      <c r="K151" s="544" t="s">
        <v>1037</v>
      </c>
      <c r="L151" s="506"/>
      <c r="M151" s="582"/>
      <c r="N151" s="583"/>
      <c r="O151" s="639">
        <v>1</v>
      </c>
      <c r="P151" s="551" t="s">
        <v>78</v>
      </c>
      <c r="Q151" s="595">
        <f t="shared" ref="Q151" si="92">F150*O151</f>
        <v>6.8536660512883213E-3</v>
      </c>
      <c r="R151" s="551">
        <v>0</v>
      </c>
      <c r="S151" s="647"/>
      <c r="T151" s="554"/>
      <c r="U151" s="551"/>
      <c r="V151" s="552"/>
      <c r="W151" s="553"/>
      <c r="X151" s="550" t="s">
        <v>78</v>
      </c>
      <c r="Y151" s="551"/>
      <c r="Z151" s="551"/>
      <c r="AA151" s="551"/>
      <c r="AB151" s="555"/>
      <c r="AC151" s="648"/>
      <c r="AD151" s="132"/>
      <c r="AE151" s="135"/>
      <c r="AF151" s="135"/>
      <c r="AG151" s="135"/>
    </row>
    <row r="152" spans="1:33" ht="15.75">
      <c r="A152" s="136"/>
      <c r="B152" s="526" t="s">
        <v>1382</v>
      </c>
      <c r="C152" s="506"/>
      <c r="D152" s="897" t="s">
        <v>856</v>
      </c>
      <c r="E152" s="911"/>
      <c r="F152" s="753">
        <f t="shared" si="79"/>
        <v>6.8536660512883213E-3</v>
      </c>
      <c r="G152" s="507" t="s">
        <v>1290</v>
      </c>
      <c r="H152" s="506"/>
      <c r="I152" s="646" t="s">
        <v>1326</v>
      </c>
      <c r="J152" s="544" t="s">
        <v>1326</v>
      </c>
      <c r="K152" s="544" t="s">
        <v>1329</v>
      </c>
      <c r="L152" s="506"/>
      <c r="M152" s="582"/>
      <c r="N152" s="583"/>
      <c r="O152" s="639">
        <v>1</v>
      </c>
      <c r="P152" s="551" t="s">
        <v>78</v>
      </c>
      <c r="Q152" s="595">
        <f t="shared" si="77"/>
        <v>6.8536660512883213E-3</v>
      </c>
      <c r="R152" s="551">
        <v>0</v>
      </c>
      <c r="S152" s="647"/>
      <c r="T152" s="554"/>
      <c r="U152" s="551"/>
      <c r="V152" s="552"/>
      <c r="W152" s="553"/>
      <c r="X152" s="550" t="s">
        <v>1035</v>
      </c>
      <c r="Y152" s="551"/>
      <c r="Z152" s="551"/>
      <c r="AA152" s="603">
        <v>0</v>
      </c>
      <c r="AB152" s="555">
        <f t="shared" si="78"/>
        <v>6.8536660512883213E-3</v>
      </c>
      <c r="AC152" s="648"/>
      <c r="AD152" s="132"/>
      <c r="AE152" s="135"/>
      <c r="AF152" s="135"/>
      <c r="AG152" s="135"/>
    </row>
    <row r="153" spans="1:33" ht="15.75">
      <c r="A153" s="136"/>
      <c r="B153" s="526" t="s">
        <v>1383</v>
      </c>
      <c r="C153" s="506"/>
      <c r="D153" s="898"/>
      <c r="E153" s="911"/>
      <c r="F153" s="753">
        <f t="shared" si="79"/>
        <v>6.8536660512883213E-3</v>
      </c>
      <c r="G153" s="507" t="s">
        <v>1373</v>
      </c>
      <c r="H153" s="506"/>
      <c r="I153" s="636" t="s">
        <v>1242</v>
      </c>
      <c r="J153" s="637" t="s">
        <v>1242</v>
      </c>
      <c r="K153" s="544" t="s">
        <v>1037</v>
      </c>
      <c r="L153" s="506"/>
      <c r="M153" s="582"/>
      <c r="N153" s="583"/>
      <c r="O153" s="639">
        <v>1</v>
      </c>
      <c r="P153" s="551" t="s">
        <v>78</v>
      </c>
      <c r="Q153" s="595">
        <f t="shared" ref="Q153" si="93">F152*O153</f>
        <v>6.8536660512883213E-3</v>
      </c>
      <c r="R153" s="551">
        <v>0</v>
      </c>
      <c r="S153" s="647"/>
      <c r="T153" s="554"/>
      <c r="U153" s="551"/>
      <c r="V153" s="552"/>
      <c r="W153" s="553"/>
      <c r="X153" s="550" t="s">
        <v>78</v>
      </c>
      <c r="Y153" s="551"/>
      <c r="Z153" s="551"/>
      <c r="AA153" s="551"/>
      <c r="AB153" s="555"/>
      <c r="AC153" s="648"/>
      <c r="AD153" s="132"/>
      <c r="AE153" s="135"/>
      <c r="AF153" s="135"/>
      <c r="AG153" s="135"/>
    </row>
    <row r="154" spans="1:33" ht="31.5">
      <c r="A154" s="136"/>
      <c r="B154" s="526" t="s">
        <v>1384</v>
      </c>
      <c r="C154" s="506"/>
      <c r="D154" s="897" t="s">
        <v>859</v>
      </c>
      <c r="E154" s="911"/>
      <c r="F154" s="753">
        <f t="shared" si="79"/>
        <v>6.8536660512883213E-3</v>
      </c>
      <c r="G154" s="507" t="s">
        <v>1290</v>
      </c>
      <c r="H154" s="506"/>
      <c r="I154" s="646" t="s">
        <v>1332</v>
      </c>
      <c r="J154" s="544" t="s">
        <v>1404</v>
      </c>
      <c r="K154" s="544" t="s">
        <v>1329</v>
      </c>
      <c r="L154" s="506"/>
      <c r="M154" s="582"/>
      <c r="N154" s="583"/>
      <c r="O154" s="639">
        <v>1</v>
      </c>
      <c r="P154" s="551" t="s">
        <v>78</v>
      </c>
      <c r="Q154" s="595">
        <f t="shared" si="77"/>
        <v>6.8536660512883213E-3</v>
      </c>
      <c r="R154" s="551">
        <v>0</v>
      </c>
      <c r="S154" s="647"/>
      <c r="T154" s="554"/>
      <c r="U154" s="551"/>
      <c r="V154" s="552"/>
      <c r="W154" s="553"/>
      <c r="X154" s="550" t="s">
        <v>1035</v>
      </c>
      <c r="Y154" s="551"/>
      <c r="Z154" s="551"/>
      <c r="AA154" s="603">
        <v>0</v>
      </c>
      <c r="AB154" s="555">
        <f t="shared" si="78"/>
        <v>6.8536660512883213E-3</v>
      </c>
      <c r="AC154" s="648"/>
      <c r="AD154" s="132"/>
      <c r="AE154" s="135"/>
      <c r="AF154" s="135"/>
      <c r="AG154" s="135"/>
    </row>
    <row r="155" spans="1:33" ht="15.75">
      <c r="A155" s="136"/>
      <c r="B155" s="526" t="s">
        <v>1385</v>
      </c>
      <c r="C155" s="506"/>
      <c r="D155" s="898"/>
      <c r="E155" s="911"/>
      <c r="F155" s="753">
        <f t="shared" si="79"/>
        <v>6.8536660512883213E-3</v>
      </c>
      <c r="G155" s="507" t="s">
        <v>1373</v>
      </c>
      <c r="H155" s="506"/>
      <c r="I155" s="636" t="s">
        <v>1242</v>
      </c>
      <c r="J155" s="637" t="s">
        <v>1242</v>
      </c>
      <c r="K155" s="544" t="s">
        <v>1037</v>
      </c>
      <c r="L155" s="506"/>
      <c r="M155" s="582"/>
      <c r="N155" s="583"/>
      <c r="O155" s="639">
        <v>1</v>
      </c>
      <c r="P155" s="551" t="s">
        <v>78</v>
      </c>
      <c r="Q155" s="595">
        <f t="shared" ref="Q155" si="94">F154*O155</f>
        <v>6.8536660512883213E-3</v>
      </c>
      <c r="R155" s="551">
        <v>0</v>
      </c>
      <c r="S155" s="647"/>
      <c r="T155" s="554"/>
      <c r="U155" s="551"/>
      <c r="V155" s="552"/>
      <c r="W155" s="553"/>
      <c r="X155" s="550" t="s">
        <v>78</v>
      </c>
      <c r="Y155" s="551"/>
      <c r="Z155" s="551"/>
      <c r="AA155" s="551"/>
      <c r="AB155" s="555"/>
      <c r="AC155" s="648"/>
      <c r="AD155" s="132"/>
      <c r="AE155" s="135"/>
      <c r="AF155" s="135"/>
      <c r="AG155" s="135"/>
    </row>
    <row r="156" spans="1:33" ht="15.75">
      <c r="A156" s="136"/>
      <c r="B156" s="526" t="s">
        <v>1386</v>
      </c>
      <c r="C156" s="506"/>
      <c r="D156" s="897" t="s">
        <v>1017</v>
      </c>
      <c r="E156" s="911"/>
      <c r="F156" s="753">
        <f t="shared" si="79"/>
        <v>6.8536660512883213E-3</v>
      </c>
      <c r="G156" s="507" t="s">
        <v>1290</v>
      </c>
      <c r="H156" s="506"/>
      <c r="I156" s="646" t="s">
        <v>1326</v>
      </c>
      <c r="J156" s="544" t="s">
        <v>1326</v>
      </c>
      <c r="K156" s="544" t="s">
        <v>1329</v>
      </c>
      <c r="L156" s="506"/>
      <c r="M156" s="582"/>
      <c r="N156" s="583"/>
      <c r="O156" s="639">
        <v>1</v>
      </c>
      <c r="P156" s="551" t="s">
        <v>78</v>
      </c>
      <c r="Q156" s="595">
        <f t="shared" si="77"/>
        <v>6.8536660512883213E-3</v>
      </c>
      <c r="R156" s="551">
        <v>0</v>
      </c>
      <c r="S156" s="647"/>
      <c r="T156" s="554"/>
      <c r="U156" s="551"/>
      <c r="V156" s="552"/>
      <c r="W156" s="553"/>
      <c r="X156" s="550" t="s">
        <v>1035</v>
      </c>
      <c r="Y156" s="551"/>
      <c r="Z156" s="551"/>
      <c r="AA156" s="603">
        <v>0</v>
      </c>
      <c r="AB156" s="555">
        <f t="shared" si="78"/>
        <v>6.8536660512883213E-3</v>
      </c>
      <c r="AC156" s="648"/>
      <c r="AD156" s="132"/>
      <c r="AE156" s="135"/>
      <c r="AF156" s="135"/>
      <c r="AG156" s="135"/>
    </row>
    <row r="157" spans="1:33" ht="15.75">
      <c r="A157" s="136"/>
      <c r="B157" s="526" t="s">
        <v>1387</v>
      </c>
      <c r="C157" s="506"/>
      <c r="D157" s="898"/>
      <c r="E157" s="911"/>
      <c r="F157" s="753">
        <f t="shared" si="79"/>
        <v>6.8536660512883213E-3</v>
      </c>
      <c r="G157" s="507" t="s">
        <v>1373</v>
      </c>
      <c r="H157" s="506"/>
      <c r="I157" s="636" t="s">
        <v>1242</v>
      </c>
      <c r="J157" s="637" t="s">
        <v>1242</v>
      </c>
      <c r="K157" s="544" t="s">
        <v>1037</v>
      </c>
      <c r="L157" s="506"/>
      <c r="M157" s="582"/>
      <c r="N157" s="583"/>
      <c r="O157" s="639">
        <v>1</v>
      </c>
      <c r="P157" s="551" t="s">
        <v>78</v>
      </c>
      <c r="Q157" s="595">
        <f t="shared" ref="Q157" si="95">F156*O157</f>
        <v>6.8536660512883213E-3</v>
      </c>
      <c r="R157" s="551">
        <v>0</v>
      </c>
      <c r="S157" s="647"/>
      <c r="T157" s="554"/>
      <c r="U157" s="551"/>
      <c r="V157" s="552"/>
      <c r="W157" s="553"/>
      <c r="X157" s="550" t="s">
        <v>78</v>
      </c>
      <c r="Y157" s="551"/>
      <c r="Z157" s="551"/>
      <c r="AA157" s="551"/>
      <c r="AB157" s="555"/>
      <c r="AC157" s="648"/>
      <c r="AD157" s="132"/>
      <c r="AE157" s="135"/>
      <c r="AF157" s="135"/>
      <c r="AG157" s="135"/>
    </row>
    <row r="158" spans="1:33" ht="15.75">
      <c r="A158" s="136"/>
      <c r="B158" s="526" t="s">
        <v>1388</v>
      </c>
      <c r="C158" s="506"/>
      <c r="D158" s="897" t="s">
        <v>1053</v>
      </c>
      <c r="E158" s="911"/>
      <c r="F158" s="753">
        <f t="shared" si="79"/>
        <v>6.8536660512883213E-3</v>
      </c>
      <c r="G158" s="507" t="s">
        <v>1290</v>
      </c>
      <c r="H158" s="506"/>
      <c r="I158" s="646" t="s">
        <v>1331</v>
      </c>
      <c r="J158" s="544"/>
      <c r="K158" s="544" t="s">
        <v>1329</v>
      </c>
      <c r="L158" s="506"/>
      <c r="M158" s="582"/>
      <c r="N158" s="583"/>
      <c r="O158" s="639">
        <v>1</v>
      </c>
      <c r="P158" s="551" t="s">
        <v>78</v>
      </c>
      <c r="Q158" s="595">
        <f t="shared" si="77"/>
        <v>6.8536660512883213E-3</v>
      </c>
      <c r="R158" s="551">
        <v>0</v>
      </c>
      <c r="S158" s="647"/>
      <c r="T158" s="554"/>
      <c r="U158" s="551"/>
      <c r="V158" s="552"/>
      <c r="W158" s="553"/>
      <c r="X158" s="550" t="s">
        <v>1035</v>
      </c>
      <c r="Y158" s="551"/>
      <c r="Z158" s="551"/>
      <c r="AA158" s="603">
        <v>0</v>
      </c>
      <c r="AB158" s="555">
        <f t="shared" si="78"/>
        <v>6.8536660512883213E-3</v>
      </c>
      <c r="AC158" s="648"/>
      <c r="AD158" s="132"/>
      <c r="AE158" s="135"/>
      <c r="AF158" s="135"/>
      <c r="AG158" s="135"/>
    </row>
    <row r="159" spans="1:33" ht="15.75">
      <c r="A159" s="136"/>
      <c r="B159" s="526" t="s">
        <v>1389</v>
      </c>
      <c r="C159" s="506"/>
      <c r="D159" s="898"/>
      <c r="E159" s="911"/>
      <c r="F159" s="753">
        <f t="shared" si="79"/>
        <v>6.8536660512883213E-3</v>
      </c>
      <c r="G159" s="507" t="s">
        <v>1373</v>
      </c>
      <c r="H159" s="506"/>
      <c r="I159" s="636" t="s">
        <v>1242</v>
      </c>
      <c r="J159" s="637" t="s">
        <v>1242</v>
      </c>
      <c r="K159" s="544" t="s">
        <v>1037</v>
      </c>
      <c r="L159" s="506"/>
      <c r="M159" s="582"/>
      <c r="N159" s="583"/>
      <c r="O159" s="639">
        <v>1</v>
      </c>
      <c r="P159" s="551" t="s">
        <v>78</v>
      </c>
      <c r="Q159" s="595">
        <f t="shared" ref="Q159" si="96">F158*O159</f>
        <v>6.8536660512883213E-3</v>
      </c>
      <c r="R159" s="551">
        <v>0</v>
      </c>
      <c r="S159" s="647"/>
      <c r="T159" s="554"/>
      <c r="U159" s="551"/>
      <c r="V159" s="600"/>
      <c r="W159" s="553"/>
      <c r="X159" s="550" t="s">
        <v>78</v>
      </c>
      <c r="Y159" s="551"/>
      <c r="Z159" s="551"/>
      <c r="AA159" s="551"/>
      <c r="AB159" s="555"/>
      <c r="AC159" s="648"/>
      <c r="AD159" s="132"/>
      <c r="AE159" s="135"/>
      <c r="AF159" s="135"/>
      <c r="AG159" s="135"/>
    </row>
    <row r="160" spans="1:33" ht="15.75">
      <c r="A160" s="136"/>
      <c r="B160" s="526" t="s">
        <v>1390</v>
      </c>
      <c r="C160" s="506"/>
      <c r="D160" s="897" t="s">
        <v>1195</v>
      </c>
      <c r="E160" s="911"/>
      <c r="F160" s="753">
        <f t="shared" si="79"/>
        <v>6.8536660512883213E-3</v>
      </c>
      <c r="G160" s="507" t="s">
        <v>1290</v>
      </c>
      <c r="H160" s="506"/>
      <c r="I160" s="646" t="s">
        <v>1327</v>
      </c>
      <c r="J160" s="544" t="s">
        <v>1327</v>
      </c>
      <c r="K160" s="544" t="s">
        <v>1329</v>
      </c>
      <c r="L160" s="506"/>
      <c r="M160" s="582"/>
      <c r="N160" s="583"/>
      <c r="O160" s="639">
        <v>1</v>
      </c>
      <c r="P160" s="551" t="s">
        <v>78</v>
      </c>
      <c r="Q160" s="595">
        <f t="shared" si="77"/>
        <v>6.8536660512883213E-3</v>
      </c>
      <c r="R160" s="551">
        <v>0</v>
      </c>
      <c r="S160" s="647"/>
      <c r="T160" s="554"/>
      <c r="U160" s="551"/>
      <c r="V160" s="600"/>
      <c r="W160" s="553"/>
      <c r="X160" s="550" t="s">
        <v>1035</v>
      </c>
      <c r="Y160" s="551"/>
      <c r="Z160" s="551"/>
      <c r="AA160" s="603">
        <v>0</v>
      </c>
      <c r="AB160" s="555">
        <f t="shared" si="78"/>
        <v>6.8536660512883213E-3</v>
      </c>
      <c r="AC160" s="648"/>
      <c r="AD160" s="132"/>
      <c r="AE160" s="135"/>
      <c r="AF160" s="135"/>
      <c r="AG160" s="135"/>
    </row>
    <row r="161" spans="1:34" ht="15.75">
      <c r="A161" s="136"/>
      <c r="B161" s="526" t="s">
        <v>1391</v>
      </c>
      <c r="C161" s="506"/>
      <c r="D161" s="898"/>
      <c r="E161" s="911"/>
      <c r="F161" s="753">
        <f t="shared" si="79"/>
        <v>6.8536660512883213E-3</v>
      </c>
      <c r="G161" s="507" t="s">
        <v>1373</v>
      </c>
      <c r="H161" s="506"/>
      <c r="I161" s="636" t="s">
        <v>1242</v>
      </c>
      <c r="J161" s="637" t="s">
        <v>1242</v>
      </c>
      <c r="K161" s="544" t="s">
        <v>1037</v>
      </c>
      <c r="L161" s="506"/>
      <c r="M161" s="582"/>
      <c r="N161" s="583"/>
      <c r="O161" s="639">
        <v>1</v>
      </c>
      <c r="P161" s="551" t="s">
        <v>78</v>
      </c>
      <c r="Q161" s="595">
        <f t="shared" ref="Q161" si="97">F160*O161</f>
        <v>6.8536660512883213E-3</v>
      </c>
      <c r="R161" s="551">
        <v>0</v>
      </c>
      <c r="S161" s="647"/>
      <c r="T161" s="554"/>
      <c r="U161" s="551"/>
      <c r="V161" s="600"/>
      <c r="W161" s="553"/>
      <c r="X161" s="550" t="s">
        <v>78</v>
      </c>
      <c r="Y161" s="551"/>
      <c r="Z161" s="551"/>
      <c r="AA161" s="551"/>
      <c r="AB161" s="555"/>
      <c r="AC161" s="648"/>
      <c r="AD161" s="132"/>
      <c r="AE161" s="135"/>
      <c r="AF161" s="135"/>
      <c r="AG161" s="135"/>
    </row>
    <row r="162" spans="1:34" ht="15.75">
      <c r="A162" s="136"/>
      <c r="B162" s="526" t="s">
        <v>1392</v>
      </c>
      <c r="C162" s="506"/>
      <c r="D162" s="897" t="s" ph="1">
        <v>1266</v>
      </c>
      <c r="E162" s="911"/>
      <c r="F162" s="753">
        <f t="shared" si="79"/>
        <v>6.8536660512883213E-3</v>
      </c>
      <c r="G162" s="507" t="s">
        <v>1290</v>
      </c>
      <c r="H162" s="506"/>
      <c r="I162" s="646" t="s">
        <v>1337</v>
      </c>
      <c r="J162" s="544" t="s">
        <v>1403</v>
      </c>
      <c r="K162" s="544" t="s">
        <v>1329</v>
      </c>
      <c r="L162" s="506"/>
      <c r="M162" s="582"/>
      <c r="N162" s="583"/>
      <c r="O162" s="639">
        <v>1</v>
      </c>
      <c r="P162" s="551" t="s">
        <v>78</v>
      </c>
      <c r="Q162" s="595">
        <f t="shared" si="77"/>
        <v>6.8536660512883213E-3</v>
      </c>
      <c r="R162" s="551">
        <v>0</v>
      </c>
      <c r="S162" s="647"/>
      <c r="T162" s="554"/>
      <c r="U162" s="551"/>
      <c r="V162" s="600"/>
      <c r="W162" s="553"/>
      <c r="X162" s="550" t="s">
        <v>1035</v>
      </c>
      <c r="Y162" s="506"/>
      <c r="Z162" s="646"/>
      <c r="AA162" s="649">
        <v>0</v>
      </c>
      <c r="AB162" s="555">
        <f t="shared" si="78"/>
        <v>6.8536660512883213E-3</v>
      </c>
      <c r="AC162" s="648"/>
      <c r="AD162" s="132"/>
      <c r="AE162" s="135"/>
      <c r="AF162" s="135"/>
      <c r="AG162" s="135"/>
    </row>
    <row r="163" spans="1:34" ht="15.75">
      <c r="A163" s="136"/>
      <c r="B163" s="526" t="s">
        <v>1393</v>
      </c>
      <c r="C163" s="595"/>
      <c r="D163" s="898"/>
      <c r="E163" s="911"/>
      <c r="F163" s="753">
        <f t="shared" si="79"/>
        <v>6.8536660512883213E-3</v>
      </c>
      <c r="G163" s="507" t="s">
        <v>1373</v>
      </c>
      <c r="H163" s="506"/>
      <c r="I163" s="636" t="s">
        <v>1242</v>
      </c>
      <c r="J163" s="637" t="s">
        <v>1242</v>
      </c>
      <c r="K163" s="544" t="s">
        <v>1037</v>
      </c>
      <c r="L163" s="595"/>
      <c r="M163" s="748"/>
      <c r="N163" s="601"/>
      <c r="O163" s="639">
        <v>1</v>
      </c>
      <c r="P163" s="551" t="s">
        <v>78</v>
      </c>
      <c r="Q163" s="595">
        <f t="shared" ref="Q163:Q165" si="98">F162*O163</f>
        <v>6.8536660512883213E-3</v>
      </c>
      <c r="R163" s="551">
        <v>0</v>
      </c>
      <c r="S163" s="647"/>
      <c r="T163" s="749"/>
      <c r="U163" s="603"/>
      <c r="V163" s="600"/>
      <c r="W163" s="553"/>
      <c r="X163" s="550" t="s">
        <v>78</v>
      </c>
      <c r="Y163" s="595"/>
      <c r="Z163" s="747"/>
      <c r="AA163" s="551"/>
      <c r="AB163" s="555"/>
      <c r="AC163" s="648"/>
      <c r="AD163" s="132"/>
      <c r="AE163" s="135"/>
      <c r="AF163" s="135"/>
      <c r="AG163" s="135"/>
    </row>
    <row r="164" spans="1:34" ht="15.75">
      <c r="A164" s="136"/>
      <c r="B164" s="526" t="s">
        <v>1394</v>
      </c>
      <c r="C164" s="595"/>
      <c r="D164" s="899" t="s">
        <v>1353</v>
      </c>
      <c r="E164" s="911"/>
      <c r="F164" s="753">
        <f t="shared" si="79"/>
        <v>6.8536660512883213E-3</v>
      </c>
      <c r="G164" s="507" t="s">
        <v>1290</v>
      </c>
      <c r="H164" s="506"/>
      <c r="I164" s="747" t="s">
        <v>1364</v>
      </c>
      <c r="J164" s="637" t="s">
        <v>1242</v>
      </c>
      <c r="K164" s="544" t="s">
        <v>1329</v>
      </c>
      <c r="L164" s="595"/>
      <c r="M164" s="748"/>
      <c r="N164" s="601"/>
      <c r="O164" s="639">
        <v>1</v>
      </c>
      <c r="P164" s="551" t="s">
        <v>78</v>
      </c>
      <c r="Q164" s="595">
        <f t="shared" si="77"/>
        <v>6.8536660512883213E-3</v>
      </c>
      <c r="R164" s="551">
        <v>0</v>
      </c>
      <c r="S164" s="647"/>
      <c r="T164" s="749"/>
      <c r="U164" s="603"/>
      <c r="V164" s="600"/>
      <c r="W164" s="553"/>
      <c r="X164" s="550" t="s">
        <v>1035</v>
      </c>
      <c r="Y164" s="595"/>
      <c r="Z164" s="747"/>
      <c r="AA164" s="649">
        <v>0</v>
      </c>
      <c r="AB164" s="555">
        <f t="shared" si="78"/>
        <v>6.8536660512883213E-3</v>
      </c>
      <c r="AC164" s="648"/>
      <c r="AD164" s="132"/>
      <c r="AE164" s="135"/>
      <c r="AF164" s="135"/>
      <c r="AG164" s="135"/>
    </row>
    <row r="165" spans="1:34" ht="16.5" thickBot="1">
      <c r="A165" s="136"/>
      <c r="B165" s="527" t="s">
        <v>1395</v>
      </c>
      <c r="C165" s="568"/>
      <c r="D165" s="900"/>
      <c r="E165" s="912"/>
      <c r="F165" s="754">
        <f>F163</f>
        <v>6.8536660512883213E-3</v>
      </c>
      <c r="G165" s="750" t="s">
        <v>1373</v>
      </c>
      <c r="H165" s="560"/>
      <c r="I165" s="651" t="s">
        <v>1242</v>
      </c>
      <c r="J165" s="559" t="s">
        <v>1242</v>
      </c>
      <c r="K165" s="559" t="s">
        <v>1037</v>
      </c>
      <c r="L165" s="568"/>
      <c r="M165" s="652"/>
      <c r="N165" s="608"/>
      <c r="O165" s="755">
        <v>1</v>
      </c>
      <c r="P165" s="653" t="s">
        <v>78</v>
      </c>
      <c r="Q165" s="568">
        <f t="shared" si="98"/>
        <v>6.8536660512883213E-3</v>
      </c>
      <c r="R165" s="567">
        <v>0</v>
      </c>
      <c r="S165" s="650"/>
      <c r="T165" s="572"/>
      <c r="U165" s="567"/>
      <c r="V165" s="570"/>
      <c r="W165" s="743"/>
      <c r="X165" s="566" t="s">
        <v>78</v>
      </c>
      <c r="Y165" s="568"/>
      <c r="Z165" s="568"/>
      <c r="AA165" s="567"/>
      <c r="AB165" s="573"/>
      <c r="AC165" s="648"/>
      <c r="AD165" s="132"/>
      <c r="AE165" s="135"/>
      <c r="AF165" s="135"/>
      <c r="AG165" s="135"/>
    </row>
    <row r="166" spans="1:34" ht="16.5" thickBot="1">
      <c r="A166" s="135"/>
      <c r="B166" s="137"/>
      <c r="C166" s="137"/>
      <c r="D166" s="137"/>
      <c r="E166" s="461">
        <f>SUM(E22:E162)</f>
        <v>6.3327874313904085</v>
      </c>
      <c r="F166" s="461">
        <f>SUM(F22:F165)</f>
        <v>6.3327874313904111</v>
      </c>
      <c r="G166" s="137"/>
      <c r="H166" s="137"/>
      <c r="I166" s="732"/>
      <c r="J166" s="733"/>
      <c r="K166" s="733"/>
      <c r="L166" s="137"/>
      <c r="M166" s="137"/>
      <c r="N166" s="137"/>
      <c r="O166" s="734"/>
      <c r="P166" s="137"/>
      <c r="Q166" s="461">
        <f>SUM(Q22:Q162)</f>
        <v>6.2672178667988385</v>
      </c>
      <c r="R166" s="137"/>
      <c r="S166" s="137"/>
      <c r="T166" s="137"/>
      <c r="U166" s="735">
        <f>100*(100-V166)/100</f>
        <v>99.895446643212594</v>
      </c>
      <c r="V166" s="736">
        <f>SUM(V22:V165)</f>
        <v>0.10455335678739651</v>
      </c>
      <c r="W166" s="137" t="s">
        <v>498</v>
      </c>
      <c r="X166" s="137"/>
      <c r="Y166" s="137"/>
      <c r="Z166" s="137"/>
      <c r="AA166" s="137"/>
      <c r="AB166" s="137"/>
      <c r="AC166" s="188"/>
      <c r="AD166" s="135"/>
      <c r="AE166" s="135"/>
      <c r="AF166" s="135"/>
      <c r="AG166" s="135"/>
      <c r="AH166" s="39"/>
    </row>
    <row r="167" spans="1:34" ht="16.5" thickBot="1">
      <c r="A167" s="135"/>
      <c r="B167" s="135"/>
      <c r="C167" s="135"/>
      <c r="D167" s="135"/>
      <c r="E167" s="135"/>
      <c r="F167" s="135"/>
      <c r="G167" s="135"/>
      <c r="H167" s="135"/>
      <c r="I167" s="442"/>
      <c r="J167" s="487"/>
      <c r="K167" s="487"/>
      <c r="L167" s="135"/>
      <c r="M167" s="135"/>
      <c r="N167" s="135"/>
      <c r="O167" s="521"/>
      <c r="P167" s="135"/>
      <c r="R167" s="135"/>
      <c r="S167" s="135"/>
      <c r="T167" s="135"/>
      <c r="X167" s="135"/>
      <c r="Y167" s="135"/>
      <c r="Z167" s="135"/>
      <c r="AA167" s="491">
        <f>100*(200-AB167)/200</f>
        <v>99.626023986702961</v>
      </c>
      <c r="AB167" s="492">
        <f>SUM(AB22:AB166)</f>
        <v>0.74795202659406024</v>
      </c>
      <c r="AC167" s="188"/>
      <c r="AD167" s="135"/>
      <c r="AE167" s="135"/>
      <c r="AF167" s="135"/>
      <c r="AG167" s="135"/>
      <c r="AH167" s="39"/>
    </row>
    <row r="168" spans="1:34" ht="16.5" thickBot="1">
      <c r="A168" s="135"/>
      <c r="B168" s="135"/>
      <c r="C168" s="135"/>
      <c r="D168" s="135"/>
      <c r="E168" s="135"/>
      <c r="F168" s="135"/>
      <c r="G168" s="135"/>
      <c r="H168" s="135"/>
      <c r="I168" s="442"/>
      <c r="J168" s="487"/>
      <c r="K168" s="487"/>
      <c r="L168" s="135"/>
      <c r="M168" s="135"/>
      <c r="N168" s="135"/>
      <c r="O168" s="521"/>
      <c r="P168" s="135"/>
      <c r="Q168" s="135"/>
      <c r="R168" s="135"/>
      <c r="S168" s="135"/>
      <c r="T168" s="135"/>
      <c r="U168" s="135"/>
      <c r="V168" s="135"/>
      <c r="W168" s="135"/>
      <c r="X168" s="135"/>
      <c r="Y168" s="135"/>
      <c r="Z168" s="135"/>
      <c r="AA168" s="135"/>
      <c r="AB168" s="135"/>
      <c r="AC168" s="188"/>
      <c r="AD168" s="135"/>
      <c r="AE168" s="135"/>
      <c r="AF168" s="135"/>
      <c r="AG168" s="135"/>
      <c r="AH168" s="39"/>
    </row>
    <row r="169" spans="1:34" ht="16.5" thickBot="1">
      <c r="A169" s="135"/>
      <c r="B169" s="135"/>
      <c r="C169" s="135"/>
      <c r="D169" s="135"/>
      <c r="E169" s="135"/>
      <c r="F169" s="135"/>
      <c r="G169" s="135"/>
      <c r="H169" s="135"/>
      <c r="I169" s="442"/>
      <c r="J169" s="487"/>
      <c r="K169" s="487"/>
      <c r="L169" s="135"/>
      <c r="M169" s="135"/>
      <c r="N169" s="135"/>
      <c r="O169" s="521"/>
      <c r="P169" s="135"/>
      <c r="Q169" s="135"/>
      <c r="R169" s="135"/>
      <c r="S169" s="135"/>
      <c r="T169" s="135"/>
      <c r="U169" s="135"/>
      <c r="V169" s="135"/>
      <c r="W169" s="135"/>
      <c r="X169" s="135"/>
      <c r="Y169" s="135"/>
      <c r="Z169" s="493" t="s">
        <v>499</v>
      </c>
      <c r="AA169" s="491">
        <f>100*(200-AB169)/200</f>
        <v>99.573747308309265</v>
      </c>
      <c r="AB169" s="494">
        <f>V166+AB167</f>
        <v>0.85250538338145676</v>
      </c>
      <c r="AC169" s="188"/>
      <c r="AD169" s="135"/>
      <c r="AE169" s="135"/>
      <c r="AF169" s="135"/>
      <c r="AG169" s="135"/>
      <c r="AH169" s="39"/>
    </row>
    <row r="170" spans="1:34" ht="15.75">
      <c r="A170" s="135"/>
      <c r="B170" s="135"/>
      <c r="C170" s="135"/>
      <c r="D170" s="135"/>
      <c r="E170" s="135"/>
      <c r="F170" s="135"/>
      <c r="G170" s="135"/>
      <c r="H170" s="135"/>
      <c r="I170" s="442"/>
      <c r="J170" s="487"/>
      <c r="K170" s="487"/>
      <c r="L170" s="135"/>
      <c r="M170" s="135"/>
      <c r="N170" s="135"/>
      <c r="O170" s="521"/>
      <c r="P170" s="135"/>
      <c r="Q170" s="135"/>
      <c r="R170" s="135"/>
      <c r="S170" s="135"/>
      <c r="T170" s="135"/>
      <c r="U170" s="135"/>
      <c r="V170" s="135"/>
      <c r="W170" s="135"/>
      <c r="X170" s="135"/>
      <c r="Y170" s="135"/>
      <c r="Z170" s="135"/>
      <c r="AA170" s="135" t="s">
        <v>500</v>
      </c>
      <c r="AB170" s="135" t="s">
        <v>498</v>
      </c>
      <c r="AC170" s="188"/>
      <c r="AD170" s="135"/>
      <c r="AE170" s="135"/>
      <c r="AF170" s="135"/>
      <c r="AG170" s="135"/>
      <c r="AH170" s="39"/>
    </row>
    <row r="171" spans="1:34" ht="15.75">
      <c r="A171" s="135"/>
      <c r="B171" s="135"/>
      <c r="C171" s="135"/>
      <c r="D171" s="135"/>
      <c r="E171" s="135"/>
      <c r="F171" s="135"/>
      <c r="G171" s="135"/>
      <c r="H171" s="135"/>
      <c r="I171" s="442"/>
      <c r="J171" s="487"/>
      <c r="K171" s="487"/>
      <c r="L171" s="135"/>
      <c r="M171" s="135"/>
      <c r="N171" s="135"/>
      <c r="O171" s="521"/>
      <c r="P171" s="135"/>
      <c r="Q171" s="135"/>
      <c r="R171" s="135"/>
      <c r="S171" s="135"/>
      <c r="T171" s="135"/>
      <c r="U171" s="135"/>
      <c r="V171" s="135"/>
      <c r="W171" s="135"/>
      <c r="X171" s="135"/>
      <c r="Y171" s="135"/>
      <c r="Z171" s="135"/>
      <c r="AA171" s="135"/>
      <c r="AB171" s="135"/>
      <c r="AC171" s="188"/>
      <c r="AD171" s="135"/>
      <c r="AE171" s="135"/>
      <c r="AF171" s="135"/>
      <c r="AG171" s="135"/>
      <c r="AH171" s="39"/>
    </row>
    <row r="172" spans="1:34" ht="15.75">
      <c r="A172" s="135"/>
      <c r="B172" s="135"/>
      <c r="C172" s="135"/>
      <c r="D172" s="135"/>
      <c r="E172" s="135"/>
      <c r="F172" s="135"/>
      <c r="G172" s="135"/>
      <c r="H172" s="135"/>
      <c r="I172" s="442"/>
      <c r="J172" s="487"/>
      <c r="K172" s="487"/>
      <c r="L172" s="135"/>
      <c r="M172" s="135"/>
      <c r="N172" s="135"/>
      <c r="O172" s="521"/>
      <c r="P172" s="135"/>
      <c r="Q172" s="135"/>
      <c r="R172" s="135"/>
      <c r="S172" s="135"/>
      <c r="T172" s="135"/>
      <c r="U172" s="135"/>
      <c r="V172" s="135"/>
      <c r="W172" s="135"/>
      <c r="X172" s="135"/>
      <c r="Y172" s="135"/>
      <c r="Z172" s="135"/>
      <c r="AA172" s="135"/>
      <c r="AB172" s="135"/>
      <c r="AC172" s="188"/>
      <c r="AD172" s="135"/>
      <c r="AE172" s="135"/>
      <c r="AF172" s="135"/>
      <c r="AG172" s="135"/>
      <c r="AH172" s="39"/>
    </row>
    <row r="173" spans="1:34" ht="15.75">
      <c r="A173" s="135"/>
      <c r="B173" s="135"/>
      <c r="C173" s="135"/>
      <c r="D173" s="135"/>
      <c r="E173" s="135"/>
      <c r="F173" s="135"/>
      <c r="G173" s="135"/>
      <c r="H173" s="135"/>
      <c r="I173" s="442"/>
      <c r="J173" s="487"/>
      <c r="K173" s="487"/>
      <c r="L173" s="135"/>
      <c r="M173" s="135"/>
      <c r="N173" s="135"/>
      <c r="O173" s="521"/>
      <c r="P173" s="135"/>
      <c r="Q173" s="135"/>
      <c r="R173" s="135"/>
      <c r="S173" s="135"/>
      <c r="T173" s="135"/>
      <c r="U173" s="135"/>
      <c r="V173" s="135"/>
      <c r="W173" s="135"/>
      <c r="X173" s="135"/>
      <c r="Y173" s="135"/>
      <c r="Z173" s="135"/>
      <c r="AA173" s="135"/>
      <c r="AB173" s="135"/>
      <c r="AC173" s="495"/>
      <c r="AD173" s="135"/>
      <c r="AE173" s="135"/>
      <c r="AF173" s="135"/>
      <c r="AG173" s="135"/>
      <c r="AH173" s="39"/>
    </row>
    <row r="174" spans="1:34" ht="15.75">
      <c r="A174" s="39"/>
      <c r="B174" s="39"/>
      <c r="C174" s="72"/>
      <c r="D174" s="72"/>
      <c r="E174" s="134"/>
      <c r="F174" s="72"/>
      <c r="G174" s="72"/>
      <c r="H174" s="72"/>
      <c r="I174" s="134"/>
      <c r="J174" s="496"/>
      <c r="K174" s="496"/>
      <c r="L174" s="72"/>
      <c r="M174" s="72"/>
      <c r="N174" s="39"/>
      <c r="O174" s="524"/>
      <c r="P174" s="497"/>
      <c r="Q174" s="39"/>
      <c r="R174" s="39"/>
      <c r="S174" s="39"/>
      <c r="T174" s="39"/>
      <c r="U174" s="39"/>
      <c r="V174" s="39"/>
      <c r="W174" s="39"/>
      <c r="X174" s="39"/>
      <c r="Y174" s="39"/>
      <c r="Z174" s="39"/>
      <c r="AA174" s="39"/>
      <c r="AB174" s="39"/>
      <c r="AC174" s="39"/>
      <c r="AD174" s="146"/>
      <c r="AE174" s="39"/>
      <c r="AF174" s="39"/>
      <c r="AG174" s="39"/>
      <c r="AH174" s="39"/>
    </row>
    <row r="175" spans="1:34" ht="15.75">
      <c r="A175" s="39"/>
      <c r="B175" s="39"/>
      <c r="C175" s="72"/>
      <c r="D175" s="72"/>
      <c r="E175" s="134"/>
      <c r="F175" s="72"/>
      <c r="G175" s="72"/>
      <c r="H175" s="72"/>
      <c r="I175" s="134"/>
      <c r="J175" s="496"/>
      <c r="K175" s="496"/>
      <c r="L175" s="72"/>
      <c r="M175" s="72"/>
      <c r="N175" s="39"/>
      <c r="O175" s="524"/>
      <c r="P175" s="497"/>
      <c r="Q175" s="39"/>
      <c r="R175" s="39"/>
      <c r="S175" s="39"/>
      <c r="T175" s="39"/>
      <c r="U175" s="39"/>
      <c r="V175" s="39"/>
      <c r="W175" s="39"/>
      <c r="X175" s="39"/>
      <c r="Y175" s="39"/>
      <c r="Z175" s="39"/>
      <c r="AA175" s="39"/>
      <c r="AB175" s="39"/>
      <c r="AC175" s="39"/>
      <c r="AD175" s="146"/>
      <c r="AE175" s="39"/>
      <c r="AF175" s="39"/>
      <c r="AG175" s="39"/>
      <c r="AH175" s="39"/>
    </row>
    <row r="176" spans="1:34" ht="15.75">
      <c r="A176" s="39"/>
      <c r="B176" s="39"/>
      <c r="C176" s="72"/>
      <c r="D176" s="72"/>
      <c r="E176" s="134"/>
      <c r="F176" s="72"/>
      <c r="G176" s="72"/>
      <c r="H176" s="72"/>
      <c r="I176" s="134"/>
      <c r="J176" s="496"/>
      <c r="K176" s="496"/>
      <c r="L176" s="72"/>
      <c r="M176" s="72"/>
      <c r="N176" s="39"/>
      <c r="O176" s="524"/>
      <c r="P176" s="497"/>
      <c r="Q176" s="39"/>
      <c r="R176" s="39"/>
      <c r="S176" s="39"/>
      <c r="T176" s="39"/>
      <c r="U176" s="39"/>
      <c r="V176" s="39"/>
      <c r="W176" s="39"/>
      <c r="X176" s="39"/>
      <c r="Y176" s="39"/>
      <c r="Z176" s="39"/>
      <c r="AA176" s="39"/>
      <c r="AB176" s="39"/>
      <c r="AC176" s="39"/>
      <c r="AD176" s="146"/>
      <c r="AE176" s="39"/>
      <c r="AF176" s="39"/>
      <c r="AG176" s="39"/>
      <c r="AH176" s="39"/>
    </row>
    <row r="177" spans="1:34" ht="15.75">
      <c r="A177" s="39"/>
      <c r="B177" s="39"/>
      <c r="C177" s="72"/>
      <c r="D177" s="72"/>
      <c r="E177" s="134"/>
      <c r="F177" s="72"/>
      <c r="G177" s="72"/>
      <c r="H177" s="72"/>
      <c r="I177" s="134"/>
      <c r="J177" s="496"/>
      <c r="K177" s="496"/>
      <c r="L177" s="72"/>
      <c r="M177" s="72"/>
      <c r="N177" s="39"/>
      <c r="O177" s="524"/>
      <c r="P177" s="497"/>
      <c r="Q177" s="39"/>
      <c r="R177" s="39"/>
      <c r="S177" s="39"/>
      <c r="T177" s="39"/>
      <c r="U177" s="39"/>
      <c r="V177" s="39"/>
      <c r="W177" s="39"/>
      <c r="X177" s="39"/>
      <c r="Y177" s="39"/>
      <c r="Z177" s="39"/>
      <c r="AA177" s="39"/>
      <c r="AB177" s="39"/>
      <c r="AC177" s="39"/>
      <c r="AD177" s="146"/>
      <c r="AE177" s="39"/>
      <c r="AF177" s="39"/>
      <c r="AG177" s="39"/>
      <c r="AH177" s="39"/>
    </row>
    <row r="178" spans="1:34" ht="15.75">
      <c r="A178" s="39"/>
      <c r="B178" s="39"/>
      <c r="C178" s="72"/>
      <c r="D178" s="72"/>
      <c r="E178" s="134"/>
      <c r="F178" s="72"/>
      <c r="G178" s="72"/>
      <c r="H178" s="72"/>
      <c r="I178" s="134"/>
      <c r="J178" s="496"/>
      <c r="K178" s="496"/>
      <c r="L178" s="72"/>
      <c r="M178" s="72"/>
      <c r="N178" s="39"/>
      <c r="O178" s="524"/>
      <c r="P178" s="497"/>
      <c r="Q178" s="39"/>
      <c r="R178" s="39"/>
      <c r="S178" s="39"/>
      <c r="T178" s="39"/>
      <c r="U178" s="39"/>
      <c r="V178" s="39"/>
      <c r="W178" s="39"/>
      <c r="X178" s="39"/>
      <c r="Y178" s="39"/>
      <c r="Z178" s="39"/>
      <c r="AA178" s="39"/>
      <c r="AB178" s="39"/>
      <c r="AC178" s="39"/>
      <c r="AD178" s="146"/>
      <c r="AE178" s="39"/>
      <c r="AF178" s="39"/>
      <c r="AG178" s="39"/>
      <c r="AH178" s="39"/>
    </row>
    <row r="179" spans="1:34" ht="15.75">
      <c r="A179" s="39"/>
      <c r="B179" s="39"/>
      <c r="C179" s="72"/>
      <c r="D179" s="72"/>
      <c r="E179" s="134"/>
      <c r="F179" s="72"/>
      <c r="G179" s="72"/>
      <c r="H179" s="72"/>
      <c r="I179" s="134"/>
      <c r="J179" s="496"/>
      <c r="K179" s="496"/>
      <c r="L179" s="72"/>
      <c r="M179" s="72"/>
      <c r="N179" s="39"/>
      <c r="O179" s="524"/>
      <c r="P179" s="497"/>
      <c r="Q179" s="39"/>
      <c r="R179" s="39"/>
      <c r="S179" s="39"/>
      <c r="T179" s="39"/>
      <c r="U179" s="39"/>
      <c r="V179" s="39"/>
      <c r="W179" s="39"/>
      <c r="X179" s="39"/>
      <c r="Y179" s="39"/>
      <c r="Z179" s="39"/>
      <c r="AA179" s="39"/>
      <c r="AB179" s="39"/>
      <c r="AC179" s="39"/>
      <c r="AD179" s="146"/>
      <c r="AE179" s="39"/>
      <c r="AF179" s="39"/>
      <c r="AG179" s="39"/>
      <c r="AH179" s="39"/>
    </row>
    <row r="180" spans="1:34" ht="15.75">
      <c r="A180" s="39"/>
      <c r="B180" s="39"/>
      <c r="C180" s="72"/>
      <c r="D180" s="72"/>
      <c r="E180" s="134"/>
      <c r="F180" s="72"/>
      <c r="G180" s="72"/>
      <c r="H180" s="72"/>
      <c r="I180" s="134"/>
      <c r="J180" s="496"/>
      <c r="K180" s="496"/>
      <c r="L180" s="72"/>
      <c r="M180" s="72"/>
      <c r="N180" s="39"/>
      <c r="O180" s="524"/>
      <c r="P180" s="497"/>
      <c r="Q180" s="39"/>
      <c r="R180" s="39"/>
      <c r="S180" s="39"/>
      <c r="T180" s="39"/>
      <c r="U180" s="39"/>
      <c r="V180" s="39"/>
      <c r="W180" s="39"/>
      <c r="X180" s="39"/>
      <c r="Y180" s="39"/>
      <c r="Z180" s="39"/>
      <c r="AA180" s="39"/>
      <c r="AB180" s="39"/>
      <c r="AC180" s="39"/>
      <c r="AD180" s="146"/>
      <c r="AE180" s="39"/>
      <c r="AF180" s="39"/>
      <c r="AG180" s="39"/>
      <c r="AH180" s="39"/>
    </row>
    <row r="181" spans="1:34" ht="15.75">
      <c r="A181" s="39"/>
      <c r="B181" s="39"/>
      <c r="C181" s="72"/>
      <c r="D181" s="72"/>
      <c r="E181" s="134"/>
      <c r="F181" s="72"/>
      <c r="G181" s="72"/>
      <c r="H181" s="72"/>
      <c r="I181" s="134"/>
      <c r="J181" s="496"/>
      <c r="K181" s="496"/>
      <c r="L181" s="72"/>
      <c r="M181" s="72"/>
      <c r="N181" s="39"/>
      <c r="O181" s="524"/>
      <c r="P181" s="497"/>
      <c r="Q181" s="39"/>
      <c r="R181" s="39"/>
      <c r="S181" s="39"/>
      <c r="T181" s="39"/>
      <c r="U181" s="39"/>
      <c r="V181" s="39"/>
      <c r="W181" s="39"/>
      <c r="X181" s="39"/>
      <c r="Y181" s="39"/>
      <c r="Z181" s="39"/>
      <c r="AA181" s="39"/>
      <c r="AB181" s="39"/>
      <c r="AC181" s="39"/>
      <c r="AD181" s="146"/>
      <c r="AE181" s="39"/>
      <c r="AF181" s="39"/>
      <c r="AG181" s="39"/>
      <c r="AH181" s="39"/>
    </row>
    <row r="182" spans="1:34" ht="15.75">
      <c r="A182" s="39"/>
      <c r="B182" s="39"/>
      <c r="C182" s="72"/>
      <c r="D182" s="72"/>
      <c r="E182" s="134"/>
      <c r="F182" s="72"/>
      <c r="G182" s="72"/>
      <c r="H182" s="72"/>
      <c r="I182" s="134"/>
      <c r="J182" s="496"/>
      <c r="K182" s="496"/>
      <c r="L182" s="72"/>
      <c r="M182" s="72"/>
      <c r="N182" s="39"/>
      <c r="O182" s="524"/>
      <c r="P182" s="497"/>
      <c r="Q182" s="39"/>
      <c r="R182" s="39"/>
      <c r="S182" s="39"/>
      <c r="T182" s="39"/>
      <c r="U182" s="39"/>
      <c r="V182" s="39"/>
      <c r="W182" s="39"/>
      <c r="X182" s="39"/>
      <c r="Y182" s="39"/>
      <c r="Z182" s="39"/>
      <c r="AA182" s="39"/>
      <c r="AB182" s="39"/>
      <c r="AC182" s="39"/>
      <c r="AD182" s="146"/>
      <c r="AE182" s="39"/>
      <c r="AF182" s="39"/>
      <c r="AG182" s="39"/>
      <c r="AH182" s="39"/>
    </row>
    <row r="183" spans="1:34" ht="15.75">
      <c r="A183" s="39"/>
      <c r="B183" s="39"/>
      <c r="C183" s="72"/>
      <c r="D183" s="72"/>
      <c r="E183" s="134"/>
      <c r="F183" s="72"/>
      <c r="G183" s="72"/>
      <c r="H183" s="72"/>
      <c r="I183" s="134"/>
      <c r="J183" s="496"/>
      <c r="K183" s="496"/>
      <c r="L183" s="72"/>
      <c r="M183" s="72"/>
      <c r="N183" s="39"/>
      <c r="O183" s="524"/>
      <c r="P183" s="497"/>
      <c r="Q183" s="39"/>
      <c r="R183" s="39"/>
      <c r="S183" s="39"/>
      <c r="T183" s="39"/>
      <c r="U183" s="39"/>
      <c r="V183" s="39"/>
      <c r="W183" s="39"/>
      <c r="X183" s="39"/>
      <c r="Y183" s="39"/>
      <c r="Z183" s="39"/>
      <c r="AA183" s="39"/>
      <c r="AB183" s="39"/>
      <c r="AC183" s="39"/>
      <c r="AD183" s="146"/>
      <c r="AE183" s="39"/>
      <c r="AF183" s="39"/>
      <c r="AG183" s="39"/>
      <c r="AH183" s="39"/>
    </row>
    <row r="184" spans="1:34" ht="15.75">
      <c r="A184" s="39"/>
      <c r="B184" s="39"/>
      <c r="C184" s="72"/>
      <c r="D184" s="72"/>
      <c r="E184" s="134"/>
      <c r="F184" s="72"/>
      <c r="G184" s="72"/>
      <c r="H184" s="72"/>
      <c r="I184" s="134"/>
      <c r="J184" s="496"/>
      <c r="K184" s="496"/>
      <c r="L184" s="72"/>
      <c r="M184" s="72"/>
      <c r="N184" s="39"/>
      <c r="O184" s="524"/>
      <c r="P184" s="497"/>
      <c r="Q184" s="39"/>
      <c r="R184" s="39"/>
      <c r="S184" s="39"/>
      <c r="T184" s="39"/>
      <c r="U184" s="39"/>
      <c r="V184" s="39"/>
      <c r="W184" s="39"/>
      <c r="X184" s="39"/>
      <c r="Y184" s="39"/>
      <c r="Z184" s="39"/>
      <c r="AA184" s="39"/>
      <c r="AB184" s="39"/>
      <c r="AC184" s="39"/>
      <c r="AD184" s="146"/>
      <c r="AE184" s="39"/>
      <c r="AF184" s="39"/>
      <c r="AG184" s="39"/>
      <c r="AH184" s="39"/>
    </row>
    <row r="185" spans="1:34" ht="15.75">
      <c r="A185" s="39"/>
      <c r="B185" s="39"/>
      <c r="C185" s="72"/>
      <c r="D185" s="72"/>
      <c r="E185" s="134"/>
      <c r="F185" s="72"/>
      <c r="G185" s="72"/>
      <c r="H185" s="72"/>
      <c r="I185" s="134"/>
      <c r="J185" s="496"/>
      <c r="K185" s="496"/>
      <c r="L185" s="72"/>
      <c r="M185" s="72"/>
      <c r="N185" s="39"/>
      <c r="O185" s="524"/>
      <c r="P185" s="497"/>
      <c r="Q185" s="39"/>
      <c r="R185" s="39"/>
      <c r="S185" s="39"/>
      <c r="T185" s="39"/>
      <c r="U185" s="39"/>
      <c r="V185" s="39"/>
      <c r="W185" s="39"/>
      <c r="X185" s="39"/>
      <c r="Y185" s="39"/>
      <c r="Z185" s="39"/>
      <c r="AA185" s="39"/>
      <c r="AB185" s="39"/>
      <c r="AC185" s="39"/>
      <c r="AD185" s="146"/>
      <c r="AE185" s="39"/>
      <c r="AF185" s="39"/>
      <c r="AG185" s="39"/>
      <c r="AH185" s="39"/>
    </row>
    <row r="186" spans="1:34" ht="15.75">
      <c r="A186" s="39"/>
      <c r="B186" s="39"/>
      <c r="C186" s="72"/>
      <c r="D186" s="72"/>
      <c r="E186" s="134"/>
      <c r="F186" s="72"/>
      <c r="G186" s="72"/>
      <c r="H186" s="72"/>
      <c r="I186" s="134"/>
      <c r="J186" s="496"/>
      <c r="K186" s="496"/>
      <c r="L186" s="72"/>
      <c r="M186" s="72"/>
      <c r="N186" s="39"/>
      <c r="O186" s="524"/>
      <c r="P186" s="497"/>
      <c r="Q186" s="39"/>
      <c r="R186" s="39"/>
      <c r="S186" s="39"/>
      <c r="T186" s="39"/>
      <c r="U186" s="39"/>
      <c r="V186" s="39"/>
      <c r="W186" s="39"/>
      <c r="X186" s="39"/>
      <c r="Y186" s="39"/>
      <c r="Z186" s="39"/>
      <c r="AA186" s="39"/>
      <c r="AB186" s="39"/>
      <c r="AC186" s="39"/>
      <c r="AD186" s="146"/>
      <c r="AE186" s="39"/>
      <c r="AF186" s="39"/>
      <c r="AG186" s="39"/>
      <c r="AH186" s="39"/>
    </row>
    <row r="187" spans="1:34" ht="15.75">
      <c r="A187" s="39"/>
      <c r="B187" s="39"/>
      <c r="C187" s="72"/>
      <c r="D187" s="72"/>
      <c r="E187" s="134"/>
      <c r="F187" s="72"/>
      <c r="G187" s="72"/>
      <c r="H187" s="72"/>
      <c r="I187" s="134"/>
      <c r="J187" s="496"/>
      <c r="K187" s="496"/>
      <c r="L187" s="72"/>
      <c r="M187" s="72"/>
      <c r="N187" s="39"/>
      <c r="O187" s="524"/>
      <c r="P187" s="497"/>
      <c r="Q187" s="39"/>
      <c r="R187" s="39"/>
      <c r="S187" s="39"/>
      <c r="T187" s="39"/>
      <c r="U187" s="39"/>
      <c r="V187" s="39"/>
      <c r="W187" s="39"/>
      <c r="X187" s="39"/>
      <c r="Y187" s="39"/>
      <c r="Z187" s="39"/>
      <c r="AA187" s="39"/>
      <c r="AB187" s="39"/>
      <c r="AC187" s="39"/>
      <c r="AD187" s="146"/>
      <c r="AE187" s="39"/>
      <c r="AF187" s="39"/>
      <c r="AG187" s="39"/>
      <c r="AH187" s="39"/>
    </row>
    <row r="188" spans="1:34" ht="15.75">
      <c r="A188" s="39"/>
      <c r="B188" s="39"/>
      <c r="C188" s="72"/>
      <c r="D188" s="72"/>
      <c r="E188" s="134"/>
      <c r="F188" s="72"/>
      <c r="G188" s="72"/>
      <c r="H188" s="72"/>
      <c r="I188" s="134"/>
      <c r="J188" s="496"/>
      <c r="K188" s="496"/>
      <c r="L188" s="72"/>
      <c r="M188" s="72"/>
      <c r="N188" s="39"/>
      <c r="O188" s="524"/>
      <c r="P188" s="497"/>
      <c r="Q188" s="39"/>
      <c r="R188" s="39"/>
      <c r="S188" s="39"/>
      <c r="T188" s="39"/>
      <c r="U188" s="39"/>
      <c r="V188" s="39"/>
      <c r="W188" s="39"/>
      <c r="X188" s="39"/>
      <c r="Y188" s="39"/>
      <c r="Z188" s="39"/>
      <c r="AA188" s="39"/>
      <c r="AB188" s="39"/>
      <c r="AC188" s="39"/>
      <c r="AD188" s="146"/>
      <c r="AE188" s="39"/>
      <c r="AF188" s="39"/>
      <c r="AG188" s="39"/>
      <c r="AH188" s="39"/>
    </row>
    <row r="189" spans="1:34" ht="15.75">
      <c r="A189" s="39"/>
      <c r="B189" s="39"/>
      <c r="C189" s="72"/>
      <c r="D189" s="72"/>
      <c r="E189" s="134"/>
      <c r="F189" s="72"/>
      <c r="G189" s="72"/>
      <c r="H189" s="72"/>
      <c r="I189" s="134"/>
      <c r="J189" s="496"/>
      <c r="K189" s="496"/>
      <c r="L189" s="72"/>
      <c r="M189" s="72"/>
      <c r="N189" s="39"/>
      <c r="O189" s="524"/>
      <c r="P189" s="497"/>
      <c r="Q189" s="39"/>
      <c r="R189" s="39"/>
      <c r="S189" s="39"/>
      <c r="T189" s="39"/>
      <c r="U189" s="39"/>
      <c r="V189" s="39"/>
      <c r="W189" s="39"/>
      <c r="X189" s="39"/>
      <c r="Y189" s="39"/>
      <c r="Z189" s="39"/>
      <c r="AA189" s="39"/>
      <c r="AB189" s="39"/>
      <c r="AC189" s="39"/>
      <c r="AD189" s="146"/>
      <c r="AE189" s="39"/>
      <c r="AF189" s="39"/>
      <c r="AG189" s="39"/>
      <c r="AH189" s="39"/>
    </row>
    <row r="190" spans="1:34" ht="15.75">
      <c r="A190" s="39"/>
      <c r="B190" s="39"/>
      <c r="C190" s="72"/>
      <c r="D190" s="72"/>
      <c r="E190" s="134"/>
      <c r="F190" s="72"/>
      <c r="G190" s="72"/>
      <c r="H190" s="72"/>
      <c r="I190" s="134"/>
      <c r="J190" s="496"/>
      <c r="K190" s="496"/>
      <c r="L190" s="72"/>
      <c r="M190" s="72"/>
      <c r="N190" s="39"/>
      <c r="O190" s="524"/>
      <c r="P190" s="497"/>
      <c r="Q190" s="39"/>
      <c r="R190" s="39"/>
      <c r="S190" s="39"/>
      <c r="T190" s="39"/>
      <c r="U190" s="39"/>
      <c r="V190" s="39"/>
      <c r="W190" s="39"/>
      <c r="X190" s="39"/>
      <c r="Y190" s="39"/>
      <c r="Z190" s="39"/>
      <c r="AA190" s="39"/>
      <c r="AB190" s="39"/>
      <c r="AC190" s="39"/>
      <c r="AD190" s="146"/>
      <c r="AE190" s="39"/>
      <c r="AF190" s="39"/>
      <c r="AG190" s="39"/>
      <c r="AH190" s="39"/>
    </row>
  </sheetData>
  <autoFilter ref="B21:AD166" xr:uid="{00000000-0009-0000-0000-000006000000}"/>
  <mergeCells count="63">
    <mergeCell ref="D116:D121"/>
    <mergeCell ref="E116:E121"/>
    <mergeCell ref="D104:D109"/>
    <mergeCell ref="E122:E165"/>
    <mergeCell ref="D98:D103"/>
    <mergeCell ref="E98:E103"/>
    <mergeCell ref="D122:D123"/>
    <mergeCell ref="D130:D131"/>
    <mergeCell ref="D132:D133"/>
    <mergeCell ref="D134:D135"/>
    <mergeCell ref="D136:D137"/>
    <mergeCell ref="D138:D139"/>
    <mergeCell ref="D140:D141"/>
    <mergeCell ref="D142:D143"/>
    <mergeCell ref="D144:D145"/>
    <mergeCell ref="D146:D147"/>
    <mergeCell ref="E110:E115"/>
    <mergeCell ref="D69:D76"/>
    <mergeCell ref="D77:D82"/>
    <mergeCell ref="E69:E76"/>
    <mergeCell ref="E77:E82"/>
    <mergeCell ref="D83:D85"/>
    <mergeCell ref="E83:E85"/>
    <mergeCell ref="D11:G11"/>
    <mergeCell ref="D22:D28"/>
    <mergeCell ref="D29:D38"/>
    <mergeCell ref="D39:D46"/>
    <mergeCell ref="D47:D53"/>
    <mergeCell ref="E22:E28"/>
    <mergeCell ref="E29:E38"/>
    <mergeCell ref="E39:E46"/>
    <mergeCell ref="E47:E53"/>
    <mergeCell ref="AB3:AC6"/>
    <mergeCell ref="AD3:AE3"/>
    <mergeCell ref="AD5:AE5"/>
    <mergeCell ref="AD6:AE6"/>
    <mergeCell ref="A10:AF10"/>
    <mergeCell ref="A8:AF8"/>
    <mergeCell ref="D124:D125"/>
    <mergeCell ref="D126:D127"/>
    <mergeCell ref="D128:D129"/>
    <mergeCell ref="O18:AB18"/>
    <mergeCell ref="O19:V19"/>
    <mergeCell ref="X19:AB19"/>
    <mergeCell ref="D61:D68"/>
    <mergeCell ref="E86:E93"/>
    <mergeCell ref="D94:D97"/>
    <mergeCell ref="E94:E97"/>
    <mergeCell ref="D54:D60"/>
    <mergeCell ref="E54:E60"/>
    <mergeCell ref="E61:E68"/>
    <mergeCell ref="D86:D93"/>
    <mergeCell ref="E104:E109"/>
    <mergeCell ref="D110:D115"/>
    <mergeCell ref="D158:D159"/>
    <mergeCell ref="D160:D161"/>
    <mergeCell ref="D162:D163"/>
    <mergeCell ref="D164:D165"/>
    <mergeCell ref="D148:D149"/>
    <mergeCell ref="D150:D151"/>
    <mergeCell ref="D152:D153"/>
    <mergeCell ref="D154:D155"/>
    <mergeCell ref="D156:D157"/>
  </mergeCells>
  <phoneticPr fontId="2"/>
  <pageMargins left="0.7" right="0.7" top="0.75" bottom="0.75" header="0.3" footer="0.3"/>
  <pageSetup paperSize="9" scale="10" orientation="portrait" horizontalDpi="1200" verticalDpi="1200" r:id="rId1"/>
  <headerFooter>
    <oddHeader>&amp;C&amp;G</oddHeader>
    <oddFooter>&amp;C&amp;1#&amp;"맑은 고딕"&amp;6&amp;K737373관 윤 / 1628679@mobis.co.kr / 본 문서는 현대모비스의 대외비 정보자산이므로 무단 전재 및 복제할 수 없으며, 위반 시 당사 사규 및 관련 법규에 의해 제재될 수 있습니다.</oddFooter>
  </headerFooter>
  <ignoredErrors>
    <ignoredError sqref="F39 F54 Q123 Q164 Q162 Q160 Q158 Q124:Q156" formula="1"/>
  </ignoredErrors>
  <drawing r:id="rId2"/>
  <legacyDrawingHF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theme="5"/>
  </sheetPr>
  <dimension ref="A1:AC145"/>
  <sheetViews>
    <sheetView zoomScaleNormal="100" zoomScaleSheetLayoutView="100" workbookViewId="0">
      <selection activeCell="P20" sqref="P20"/>
    </sheetView>
  </sheetViews>
  <sheetFormatPr defaultColWidth="9" defaultRowHeight="12"/>
  <cols>
    <col min="1" max="1" width="5.7109375" style="147" customWidth="1"/>
    <col min="2" max="8" width="9" style="147"/>
    <col min="9" max="9" width="16.7109375" style="147" customWidth="1"/>
    <col min="10" max="11" width="15.7109375" style="147" customWidth="1"/>
    <col min="12" max="12" width="5.7109375" style="147" customWidth="1"/>
    <col min="13" max="16384" width="9" style="147"/>
  </cols>
  <sheetData>
    <row r="1" spans="1:29" ht="15">
      <c r="A1" s="120"/>
      <c r="B1" s="120"/>
      <c r="C1" s="120"/>
      <c r="D1" s="120"/>
      <c r="E1" s="120"/>
      <c r="F1" s="120"/>
      <c r="G1" s="120"/>
      <c r="H1" s="121"/>
      <c r="I1" s="121"/>
      <c r="J1" s="121"/>
      <c r="K1" s="121"/>
      <c r="L1" s="120"/>
    </row>
    <row r="2" spans="1:29" s="125" customFormat="1" ht="16.5" customHeight="1">
      <c r="A2" s="120"/>
      <c r="B2" s="120"/>
      <c r="C2" s="120"/>
      <c r="D2" s="120"/>
      <c r="E2" s="120"/>
      <c r="F2" s="120"/>
      <c r="G2" s="130"/>
      <c r="H2" s="863" t="s">
        <v>19</v>
      </c>
      <c r="I2" s="864"/>
      <c r="J2" s="760" t="str">
        <f>Cover!$F$18</f>
        <v>ELM-803-FS-0001</v>
      </c>
      <c r="K2" s="761"/>
      <c r="L2" s="120"/>
      <c r="M2" s="148"/>
      <c r="N2" s="148"/>
      <c r="S2" s="149"/>
      <c r="AA2" s="149"/>
      <c r="AB2" s="149"/>
      <c r="AC2" s="149"/>
    </row>
    <row r="3" spans="1:29" s="125" customFormat="1" ht="16.5" customHeight="1">
      <c r="A3" s="120"/>
      <c r="B3" s="120"/>
      <c r="C3" s="120"/>
      <c r="D3" s="120"/>
      <c r="E3" s="120"/>
      <c r="F3" s="120"/>
      <c r="G3" s="130"/>
      <c r="H3" s="865" t="s">
        <v>7</v>
      </c>
      <c r="I3" s="819"/>
      <c r="J3" s="15" t="str">
        <f>Cover!$F$19</f>
        <v>Safety Manager</v>
      </c>
      <c r="K3" s="40" t="str">
        <f>Cover!$G$19</f>
        <v>I. Kök</v>
      </c>
      <c r="L3" s="120"/>
      <c r="M3" s="148"/>
      <c r="N3" s="148"/>
      <c r="S3" s="149"/>
      <c r="AA3" s="149"/>
      <c r="AB3" s="149"/>
      <c r="AC3" s="149"/>
    </row>
    <row r="4" spans="1:29" s="125" customFormat="1" ht="16.5" customHeight="1">
      <c r="A4" s="120"/>
      <c r="B4" s="120"/>
      <c r="C4" s="120"/>
      <c r="D4" s="120"/>
      <c r="E4" s="120"/>
      <c r="F4" s="120"/>
      <c r="G4" s="130"/>
      <c r="H4" s="865" t="s">
        <v>8</v>
      </c>
      <c r="I4" s="819"/>
      <c r="J4" s="762" t="str">
        <f>Cover!$F$20</f>
        <v>B2</v>
      </c>
      <c r="K4" s="763"/>
      <c r="L4" s="120"/>
      <c r="M4" s="148"/>
      <c r="N4" s="148"/>
      <c r="S4" s="149"/>
      <c r="AA4" s="149"/>
      <c r="AB4" s="149"/>
      <c r="AC4" s="149"/>
    </row>
    <row r="5" spans="1:29" s="125" customFormat="1" ht="16.5" customHeight="1">
      <c r="A5" s="120"/>
      <c r="B5" s="120"/>
      <c r="C5" s="120"/>
      <c r="D5" s="120"/>
      <c r="E5" s="120"/>
      <c r="F5" s="120"/>
      <c r="G5" s="130"/>
      <c r="H5" s="866" t="s">
        <v>20</v>
      </c>
      <c r="I5" s="867"/>
      <c r="J5" s="764" t="str">
        <f>Cover!$F$21</f>
        <v>approved after review</v>
      </c>
      <c r="K5" s="765"/>
      <c r="L5" s="120"/>
      <c r="M5" s="148"/>
      <c r="N5" s="148"/>
      <c r="S5" s="149"/>
      <c r="AA5" s="149"/>
      <c r="AB5" s="149"/>
      <c r="AC5" s="149"/>
    </row>
    <row r="6" spans="1:29" s="125" customFormat="1" ht="36.75" customHeight="1">
      <c r="A6" s="757" t="s">
        <v>22</v>
      </c>
      <c r="B6" s="757"/>
      <c r="C6" s="757"/>
      <c r="D6" s="757"/>
      <c r="E6" s="757"/>
      <c r="F6" s="757"/>
      <c r="G6" s="757"/>
      <c r="H6" s="757"/>
      <c r="I6" s="757"/>
      <c r="J6" s="757"/>
      <c r="K6" s="757"/>
      <c r="L6" s="932"/>
      <c r="M6" s="148"/>
      <c r="N6" s="148"/>
      <c r="S6" s="148"/>
      <c r="T6" s="148"/>
      <c r="V6" s="148"/>
      <c r="W6" s="148"/>
      <c r="X6" s="148"/>
      <c r="Y6" s="148"/>
      <c r="AA6" s="148"/>
      <c r="AB6" s="148"/>
      <c r="AC6" s="148"/>
    </row>
    <row r="7" spans="1:29" s="125" customFormat="1" ht="10.5" customHeight="1">
      <c r="A7" s="121"/>
      <c r="B7" s="121"/>
      <c r="C7" s="121"/>
      <c r="D7" s="121"/>
      <c r="E7" s="121"/>
      <c r="F7" s="121"/>
      <c r="G7" s="121"/>
      <c r="H7" s="121"/>
      <c r="I7" s="121"/>
      <c r="J7" s="121"/>
      <c r="K7" s="121"/>
      <c r="L7" s="121"/>
      <c r="M7" s="148"/>
      <c r="N7" s="148"/>
      <c r="S7" s="148"/>
      <c r="T7" s="148"/>
      <c r="V7" s="148"/>
      <c r="W7" s="148"/>
      <c r="X7" s="148"/>
      <c r="Y7" s="148"/>
      <c r="AA7" s="148"/>
      <c r="AB7" s="148"/>
      <c r="AC7" s="148"/>
    </row>
    <row r="8" spans="1:29" s="125" customFormat="1" ht="30" customHeight="1">
      <c r="A8" s="766" t="str">
        <f>Cover!A9</f>
        <v>ID803 - Vega</v>
      </c>
      <c r="B8" s="812"/>
      <c r="C8" s="812"/>
      <c r="D8" s="812"/>
      <c r="E8" s="812"/>
      <c r="F8" s="812"/>
      <c r="G8" s="812"/>
      <c r="H8" s="812"/>
      <c r="I8" s="812"/>
      <c r="J8" s="812"/>
      <c r="K8" s="812"/>
      <c r="L8" s="813"/>
      <c r="M8" s="148"/>
      <c r="N8" s="148"/>
      <c r="P8" s="148"/>
      <c r="Q8" s="148"/>
      <c r="R8" s="148"/>
      <c r="S8" s="148"/>
      <c r="T8" s="148"/>
      <c r="V8" s="148"/>
      <c r="W8" s="148"/>
      <c r="X8" s="148"/>
      <c r="Y8" s="148"/>
      <c r="AA8" s="148"/>
      <c r="AB8" s="148"/>
      <c r="AC8" s="148"/>
    </row>
    <row r="9" spans="1:29" ht="15">
      <c r="A9" s="123"/>
      <c r="B9" s="123"/>
      <c r="C9" s="123"/>
      <c r="D9" s="123"/>
      <c r="E9" s="123"/>
      <c r="F9" s="123"/>
      <c r="G9" s="123"/>
      <c r="H9" s="123"/>
      <c r="I9" s="123"/>
      <c r="J9" s="123"/>
      <c r="K9" s="123"/>
      <c r="L9" s="123"/>
    </row>
    <row r="10" spans="1:29" ht="21">
      <c r="A10" s="130"/>
      <c r="B10" s="928" t="s">
        <v>515</v>
      </c>
      <c r="C10" s="929"/>
      <c r="D10" s="929"/>
      <c r="E10" s="929"/>
      <c r="F10" s="929"/>
      <c r="G10" s="929"/>
      <c r="H10" s="929"/>
      <c r="I10" s="929"/>
      <c r="J10" s="930"/>
      <c r="K10" s="931"/>
      <c r="L10" s="122"/>
    </row>
    <row r="11" spans="1:29" ht="15">
      <c r="A11" s="130"/>
      <c r="B11" s="150"/>
      <c r="C11" s="120"/>
      <c r="D11" s="120"/>
      <c r="E11" s="120"/>
      <c r="F11" s="120"/>
      <c r="G11" s="120"/>
      <c r="H11" s="120"/>
      <c r="I11" s="130"/>
      <c r="J11" s="151" t="s">
        <v>516</v>
      </c>
      <c r="K11" s="151" t="s">
        <v>517</v>
      </c>
      <c r="L11" s="122"/>
    </row>
    <row r="12" spans="1:29" ht="15">
      <c r="A12" s="130"/>
      <c r="B12" s="150"/>
      <c r="C12" s="120"/>
      <c r="D12" s="120"/>
      <c r="E12" s="120"/>
      <c r="F12" s="120"/>
      <c r="G12" s="120"/>
      <c r="H12" s="120"/>
      <c r="I12" s="130"/>
      <c r="J12" s="133">
        <v>1</v>
      </c>
      <c r="K12" s="133" t="s">
        <v>890</v>
      </c>
      <c r="L12" s="122"/>
    </row>
    <row r="13" spans="1:29" ht="15">
      <c r="A13" s="130"/>
      <c r="B13" s="150"/>
      <c r="C13" s="120"/>
      <c r="D13" s="120"/>
      <c r="E13" s="120"/>
      <c r="F13" s="120"/>
      <c r="G13" s="120"/>
      <c r="H13" s="120"/>
      <c r="I13" s="130"/>
      <c r="J13" s="133">
        <v>2</v>
      </c>
      <c r="K13" s="133" t="s">
        <v>891</v>
      </c>
      <c r="L13" s="122"/>
    </row>
    <row r="14" spans="1:29" ht="15">
      <c r="A14" s="130"/>
      <c r="B14" s="150"/>
      <c r="C14" s="120"/>
      <c r="D14" s="120"/>
      <c r="E14" s="120"/>
      <c r="F14" s="120"/>
      <c r="G14" s="120"/>
      <c r="H14" s="120"/>
      <c r="I14" s="130"/>
      <c r="J14" s="133">
        <v>3</v>
      </c>
      <c r="K14" s="133" t="s">
        <v>892</v>
      </c>
      <c r="L14" s="122"/>
    </row>
    <row r="15" spans="1:29" ht="15">
      <c r="A15" s="130"/>
      <c r="B15" s="150"/>
      <c r="C15" s="120"/>
      <c r="D15" s="120"/>
      <c r="E15" s="120"/>
      <c r="F15" s="120"/>
      <c r="G15" s="120"/>
      <c r="H15" s="120"/>
      <c r="I15" s="130"/>
      <c r="J15" s="133">
        <v>4</v>
      </c>
      <c r="K15" s="133" t="s">
        <v>893</v>
      </c>
      <c r="L15" s="122"/>
    </row>
    <row r="16" spans="1:29" ht="15">
      <c r="A16" s="130"/>
      <c r="B16" s="150"/>
      <c r="C16" s="120"/>
      <c r="D16" s="120"/>
      <c r="E16" s="120"/>
      <c r="F16" s="120"/>
      <c r="G16" s="120"/>
      <c r="H16" s="120"/>
      <c r="I16" s="130"/>
      <c r="J16" s="133">
        <v>5</v>
      </c>
      <c r="K16" s="133" t="s">
        <v>894</v>
      </c>
      <c r="L16" s="122"/>
    </row>
    <row r="17" spans="1:12" ht="15">
      <c r="A17" s="130"/>
      <c r="B17" s="150"/>
      <c r="C17" s="120"/>
      <c r="D17" s="120"/>
      <c r="E17" s="120"/>
      <c r="F17" s="120"/>
      <c r="G17" s="120"/>
      <c r="H17" s="120"/>
      <c r="I17" s="130"/>
      <c r="J17" s="133">
        <v>6</v>
      </c>
      <c r="K17" s="133" t="s">
        <v>895</v>
      </c>
      <c r="L17" s="122"/>
    </row>
    <row r="18" spans="1:12" ht="15">
      <c r="A18" s="130"/>
      <c r="B18" s="150"/>
      <c r="C18" s="120"/>
      <c r="D18" s="120"/>
      <c r="E18" s="120"/>
      <c r="F18" s="120"/>
      <c r="G18" s="120"/>
      <c r="H18" s="120"/>
      <c r="I18" s="130"/>
      <c r="J18" s="133">
        <v>7</v>
      </c>
      <c r="K18" s="133" t="s">
        <v>896</v>
      </c>
      <c r="L18" s="122"/>
    </row>
    <row r="19" spans="1:12" ht="15">
      <c r="A19" s="130"/>
      <c r="B19" s="150"/>
      <c r="C19" s="120"/>
      <c r="D19" s="120"/>
      <c r="E19" s="120"/>
      <c r="F19" s="120"/>
      <c r="G19" s="120"/>
      <c r="H19" s="120"/>
      <c r="I19" s="130"/>
      <c r="J19" s="133">
        <v>8</v>
      </c>
      <c r="K19" s="133" t="s">
        <v>897</v>
      </c>
      <c r="L19" s="122"/>
    </row>
    <row r="20" spans="1:12" ht="15">
      <c r="A20" s="130"/>
      <c r="B20" s="150"/>
      <c r="C20" s="120"/>
      <c r="D20" s="120"/>
      <c r="E20" s="120"/>
      <c r="F20" s="120"/>
      <c r="G20" s="120"/>
      <c r="H20" s="120"/>
      <c r="I20" s="130"/>
      <c r="J20" s="133">
        <v>9</v>
      </c>
      <c r="K20" s="133" t="s">
        <v>898</v>
      </c>
      <c r="L20" s="122"/>
    </row>
    <row r="21" spans="1:12" ht="15">
      <c r="A21" s="130"/>
      <c r="B21" s="150"/>
      <c r="C21" s="120"/>
      <c r="D21" s="120"/>
      <c r="E21" s="120"/>
      <c r="F21" s="120"/>
      <c r="G21" s="120"/>
      <c r="H21" s="120"/>
      <c r="I21" s="130"/>
      <c r="J21" s="133">
        <v>10</v>
      </c>
      <c r="K21" s="133" t="s">
        <v>899</v>
      </c>
      <c r="L21" s="122"/>
    </row>
    <row r="22" spans="1:12" ht="15">
      <c r="A22" s="130"/>
      <c r="B22" s="150"/>
      <c r="C22" s="120"/>
      <c r="D22" s="120"/>
      <c r="E22" s="120"/>
      <c r="F22" s="120"/>
      <c r="G22" s="120"/>
      <c r="H22" s="120"/>
      <c r="I22" s="130"/>
      <c r="J22" s="133">
        <v>11</v>
      </c>
      <c r="K22" s="133" t="s">
        <v>900</v>
      </c>
      <c r="L22" s="122"/>
    </row>
    <row r="23" spans="1:12" ht="15">
      <c r="A23" s="130"/>
      <c r="B23" s="150"/>
      <c r="C23" s="120"/>
      <c r="D23" s="120"/>
      <c r="E23" s="120"/>
      <c r="F23" s="120"/>
      <c r="G23" s="120"/>
      <c r="H23" s="120"/>
      <c r="I23" s="130"/>
      <c r="J23" s="133">
        <v>12</v>
      </c>
      <c r="K23" s="133" t="s">
        <v>901</v>
      </c>
      <c r="L23" s="122"/>
    </row>
    <row r="24" spans="1:12" ht="15">
      <c r="A24" s="130"/>
      <c r="B24" s="150"/>
      <c r="C24" s="120"/>
      <c r="D24" s="120"/>
      <c r="E24" s="120"/>
      <c r="F24" s="120"/>
      <c r="G24" s="120"/>
      <c r="H24" s="120"/>
      <c r="J24" s="133">
        <v>13</v>
      </c>
      <c r="K24" s="133" t="s">
        <v>906</v>
      </c>
      <c r="L24" s="122"/>
    </row>
    <row r="25" spans="1:12" ht="15">
      <c r="A25" s="130"/>
      <c r="B25" s="150"/>
      <c r="C25" s="120"/>
      <c r="D25" s="120"/>
      <c r="E25" s="120"/>
      <c r="F25" s="120"/>
      <c r="G25" s="120"/>
      <c r="H25" s="120"/>
      <c r="I25" s="120"/>
      <c r="J25" s="133">
        <v>14</v>
      </c>
      <c r="K25" s="133" t="s">
        <v>909</v>
      </c>
      <c r="L25" s="122"/>
    </row>
    <row r="26" spans="1:12" ht="15">
      <c r="A26" s="130"/>
      <c r="B26" s="150"/>
      <c r="C26" s="120"/>
      <c r="D26" s="120"/>
      <c r="E26" s="120"/>
      <c r="F26" s="120"/>
      <c r="G26" s="120"/>
      <c r="H26" s="120"/>
      <c r="I26" s="120"/>
      <c r="J26" s="133">
        <v>15</v>
      </c>
      <c r="K26" s="133" t="s">
        <v>903</v>
      </c>
      <c r="L26" s="122"/>
    </row>
    <row r="27" spans="1:12" ht="15">
      <c r="A27" s="130"/>
      <c r="B27" s="150"/>
      <c r="C27" s="120"/>
      <c r="D27" s="120"/>
      <c r="E27" s="120"/>
      <c r="F27" s="120"/>
      <c r="G27" s="120"/>
      <c r="H27" s="120"/>
      <c r="I27" s="120"/>
      <c r="J27" s="133">
        <v>16</v>
      </c>
      <c r="K27" s="133" t="s">
        <v>904</v>
      </c>
      <c r="L27" s="122"/>
    </row>
    <row r="28" spans="1:12" ht="15">
      <c r="A28" s="130"/>
      <c r="B28" s="150"/>
      <c r="C28" s="120"/>
      <c r="D28" s="120"/>
      <c r="E28" s="120"/>
      <c r="F28" s="120"/>
      <c r="G28" s="120"/>
      <c r="H28" s="120"/>
      <c r="I28" s="120"/>
      <c r="J28" s="133">
        <v>17</v>
      </c>
      <c r="K28" s="133" t="s">
        <v>908</v>
      </c>
      <c r="L28" s="122"/>
    </row>
    <row r="29" spans="1:12" ht="15">
      <c r="A29" s="130"/>
      <c r="B29" s="150"/>
      <c r="C29" s="120"/>
      <c r="D29" s="120"/>
      <c r="E29" s="120"/>
      <c r="F29" s="120"/>
      <c r="G29" s="120"/>
      <c r="H29" s="120"/>
      <c r="I29" s="120"/>
      <c r="J29" s="133">
        <v>18</v>
      </c>
      <c r="K29" s="133" t="s">
        <v>910</v>
      </c>
      <c r="L29" s="122"/>
    </row>
    <row r="30" spans="1:12" ht="15">
      <c r="A30" s="130"/>
      <c r="B30" s="150"/>
      <c r="C30" s="120"/>
      <c r="D30" s="120"/>
      <c r="E30" s="120"/>
      <c r="F30" s="120"/>
      <c r="G30" s="120"/>
      <c r="H30" s="120"/>
      <c r="I30" s="120"/>
      <c r="J30" s="133">
        <v>19</v>
      </c>
      <c r="K30" s="133" t="s">
        <v>902</v>
      </c>
      <c r="L30" s="122"/>
    </row>
    <row r="31" spans="1:12" ht="15">
      <c r="A31" s="130"/>
      <c r="B31" s="150"/>
      <c r="C31" s="120"/>
      <c r="D31" s="120"/>
      <c r="E31" s="120"/>
      <c r="F31" s="120"/>
      <c r="G31" s="120"/>
      <c r="H31" s="120"/>
      <c r="I31" s="120"/>
      <c r="J31" s="133">
        <v>20</v>
      </c>
      <c r="K31" s="133" t="s">
        <v>908</v>
      </c>
      <c r="L31" s="122"/>
    </row>
    <row r="32" spans="1:12" ht="15">
      <c r="A32" s="130"/>
      <c r="B32" s="150"/>
      <c r="C32" s="120"/>
      <c r="D32" s="120"/>
      <c r="E32" s="120"/>
      <c r="F32" s="120"/>
      <c r="G32" s="120"/>
      <c r="H32" s="120"/>
      <c r="I32" s="120"/>
      <c r="J32" s="133">
        <v>21</v>
      </c>
      <c r="K32" s="133" t="s">
        <v>904</v>
      </c>
      <c r="L32" s="122"/>
    </row>
    <row r="33" spans="1:12" ht="15">
      <c r="A33" s="130"/>
      <c r="B33" s="150"/>
      <c r="C33" s="120"/>
      <c r="D33" s="120"/>
      <c r="E33" s="120"/>
      <c r="F33" s="120"/>
      <c r="G33" s="120"/>
      <c r="H33" s="120"/>
      <c r="I33" s="120"/>
      <c r="J33" s="133">
        <v>22</v>
      </c>
      <c r="K33" s="133" t="s">
        <v>903</v>
      </c>
      <c r="L33" s="122"/>
    </row>
    <row r="34" spans="1:12" ht="15">
      <c r="A34" s="130"/>
      <c r="B34" s="150"/>
      <c r="C34" s="120"/>
      <c r="D34" s="120"/>
      <c r="E34" s="120"/>
      <c r="F34" s="120"/>
      <c r="G34" s="120"/>
      <c r="H34" s="120"/>
      <c r="I34" s="120"/>
      <c r="J34" s="133">
        <v>23</v>
      </c>
      <c r="K34" s="133" t="s">
        <v>905</v>
      </c>
      <c r="L34" s="122"/>
    </row>
    <row r="35" spans="1:12" ht="15">
      <c r="A35" s="130"/>
      <c r="B35" s="150"/>
      <c r="C35" s="120"/>
      <c r="D35" s="120"/>
      <c r="E35" s="120"/>
      <c r="F35" s="120"/>
      <c r="G35" s="120"/>
      <c r="H35" s="120"/>
      <c r="I35" s="120"/>
      <c r="J35" s="133">
        <v>24</v>
      </c>
      <c r="K35" s="133" t="s">
        <v>907</v>
      </c>
      <c r="L35" s="122"/>
    </row>
    <row r="36" spans="1:12" ht="15">
      <c r="A36" s="130"/>
      <c r="B36" s="150"/>
      <c r="C36" s="120"/>
      <c r="D36" s="120"/>
      <c r="E36" s="120"/>
      <c r="F36" s="120"/>
      <c r="G36" s="120"/>
      <c r="H36" s="120"/>
      <c r="I36" s="120"/>
      <c r="J36" s="133">
        <v>25</v>
      </c>
      <c r="K36" s="133" t="s">
        <v>929</v>
      </c>
      <c r="L36" s="122"/>
    </row>
    <row r="37" spans="1:12" ht="15">
      <c r="A37" s="130"/>
      <c r="B37" s="150"/>
      <c r="C37" s="120"/>
      <c r="D37" s="120"/>
      <c r="E37" s="120"/>
      <c r="F37" s="120"/>
      <c r="G37" s="120"/>
      <c r="H37" s="120"/>
      <c r="I37" s="120"/>
      <c r="J37" s="133">
        <v>26</v>
      </c>
      <c r="K37" s="133" t="s">
        <v>924</v>
      </c>
      <c r="L37" s="122"/>
    </row>
    <row r="38" spans="1:12" ht="15">
      <c r="A38" s="130"/>
      <c r="B38" s="150"/>
      <c r="C38" s="120"/>
      <c r="D38" s="120"/>
      <c r="E38" s="120"/>
      <c r="F38" s="120"/>
      <c r="G38" s="120"/>
      <c r="H38" s="120"/>
      <c r="I38" s="120"/>
      <c r="J38" s="133">
        <v>27</v>
      </c>
      <c r="K38" s="133" t="s">
        <v>927</v>
      </c>
      <c r="L38" s="122"/>
    </row>
    <row r="39" spans="1:12" ht="15">
      <c r="A39" s="130"/>
      <c r="B39" s="150"/>
      <c r="C39" s="120"/>
      <c r="D39" s="120"/>
      <c r="E39" s="120"/>
      <c r="F39" s="120"/>
      <c r="G39" s="120"/>
      <c r="H39" s="120"/>
      <c r="I39" s="120"/>
      <c r="J39" s="133">
        <v>28</v>
      </c>
      <c r="K39" s="133" t="s">
        <v>921</v>
      </c>
      <c r="L39" s="122"/>
    </row>
    <row r="40" spans="1:12" ht="15">
      <c r="A40" s="130"/>
      <c r="B40" s="150"/>
      <c r="C40" s="120"/>
      <c r="D40" s="120"/>
      <c r="E40" s="120"/>
      <c r="F40" s="120"/>
      <c r="G40" s="120"/>
      <c r="H40" s="120"/>
      <c r="I40" s="120"/>
      <c r="J40" s="133">
        <v>29</v>
      </c>
      <c r="K40" s="133" t="s">
        <v>928</v>
      </c>
      <c r="L40" s="122"/>
    </row>
    <row r="41" spans="1:12" ht="15">
      <c r="A41" s="130"/>
      <c r="B41" s="150"/>
      <c r="C41" s="120"/>
      <c r="D41" s="120"/>
      <c r="E41" s="120"/>
      <c r="F41" s="120"/>
      <c r="G41" s="120"/>
      <c r="H41" s="120"/>
      <c r="I41" s="120"/>
      <c r="J41" s="133">
        <v>30</v>
      </c>
      <c r="K41" s="133" t="s">
        <v>934</v>
      </c>
      <c r="L41" s="122"/>
    </row>
    <row r="42" spans="1:12" ht="15">
      <c r="A42" s="130"/>
      <c r="B42" s="150"/>
      <c r="C42" s="120"/>
      <c r="D42" s="120"/>
      <c r="E42" s="120"/>
      <c r="F42" s="120"/>
      <c r="G42" s="120"/>
      <c r="H42" s="120"/>
      <c r="I42" s="120"/>
      <c r="J42" s="133">
        <v>31</v>
      </c>
      <c r="K42" s="133" t="s">
        <v>922</v>
      </c>
      <c r="L42" s="122"/>
    </row>
    <row r="43" spans="1:12" ht="15">
      <c r="A43" s="130"/>
      <c r="B43" s="150"/>
      <c r="C43" s="120"/>
      <c r="D43" s="120"/>
      <c r="E43" s="120"/>
      <c r="F43" s="120"/>
      <c r="G43" s="120"/>
      <c r="H43" s="120"/>
      <c r="I43" s="120"/>
      <c r="J43" s="133">
        <v>32</v>
      </c>
      <c r="K43" s="133" t="s">
        <v>925</v>
      </c>
      <c r="L43" s="122"/>
    </row>
    <row r="44" spans="1:12" ht="15">
      <c r="A44" s="130"/>
      <c r="B44" s="150"/>
      <c r="C44" s="120"/>
      <c r="D44" s="120"/>
      <c r="E44" s="120"/>
      <c r="F44" s="120"/>
      <c r="G44" s="120"/>
      <c r="H44" s="120"/>
      <c r="I44" s="120"/>
      <c r="J44" s="133">
        <v>33</v>
      </c>
      <c r="K44" s="133" t="s">
        <v>931</v>
      </c>
      <c r="L44" s="122"/>
    </row>
    <row r="45" spans="1:12" ht="15">
      <c r="A45" s="130"/>
      <c r="B45" s="150"/>
      <c r="C45" s="120"/>
      <c r="D45" s="120"/>
      <c r="E45" s="120"/>
      <c r="F45" s="120"/>
      <c r="G45" s="120"/>
      <c r="H45" s="120"/>
      <c r="I45" s="120"/>
      <c r="J45" s="133">
        <v>34</v>
      </c>
      <c r="K45" s="133" t="s">
        <v>930</v>
      </c>
      <c r="L45" s="122"/>
    </row>
    <row r="46" spans="1:12" ht="15">
      <c r="A46" s="130"/>
      <c r="B46" s="150"/>
      <c r="C46" s="120"/>
      <c r="D46" s="120"/>
      <c r="E46" s="120"/>
      <c r="F46" s="120"/>
      <c r="G46" s="120"/>
      <c r="H46" s="120"/>
      <c r="I46" s="120"/>
      <c r="J46" s="133">
        <v>35</v>
      </c>
      <c r="K46" s="133" t="s">
        <v>926</v>
      </c>
      <c r="L46" s="122"/>
    </row>
    <row r="47" spans="1:12" ht="15">
      <c r="A47" s="130"/>
      <c r="B47" s="150"/>
      <c r="C47" s="120"/>
      <c r="D47" s="120"/>
      <c r="E47" s="120"/>
      <c r="F47" s="120"/>
      <c r="G47" s="120"/>
      <c r="H47" s="120"/>
      <c r="I47" s="120"/>
      <c r="J47" s="133">
        <v>36</v>
      </c>
      <c r="K47" s="133" t="s">
        <v>923</v>
      </c>
      <c r="L47" s="122"/>
    </row>
    <row r="48" spans="1:12" ht="15">
      <c r="A48" s="130"/>
      <c r="B48" s="150"/>
      <c r="C48" s="120"/>
      <c r="D48" s="120"/>
      <c r="E48" s="120"/>
      <c r="F48" s="120"/>
      <c r="G48" s="120"/>
      <c r="H48" s="120"/>
      <c r="I48" s="120"/>
      <c r="J48" s="133">
        <v>37</v>
      </c>
      <c r="K48" s="133" t="s">
        <v>917</v>
      </c>
      <c r="L48" s="122"/>
    </row>
    <row r="49" spans="1:12" ht="15">
      <c r="A49" s="130"/>
      <c r="B49" s="150"/>
      <c r="C49" s="120"/>
      <c r="D49" s="120"/>
      <c r="E49" s="120"/>
      <c r="F49" s="120"/>
      <c r="G49" s="120"/>
      <c r="H49" s="120"/>
      <c r="I49" s="120"/>
      <c r="J49" s="133">
        <v>38</v>
      </c>
      <c r="K49" s="133" t="s">
        <v>912</v>
      </c>
      <c r="L49" s="122"/>
    </row>
    <row r="50" spans="1:12" ht="15">
      <c r="A50" s="130"/>
      <c r="B50" s="150"/>
      <c r="C50" s="120"/>
      <c r="D50" s="120"/>
      <c r="E50" s="120"/>
      <c r="F50" s="120"/>
      <c r="G50" s="120"/>
      <c r="H50" s="120"/>
      <c r="I50" s="120"/>
      <c r="J50" s="133">
        <v>39</v>
      </c>
      <c r="K50" s="133" t="s">
        <v>915</v>
      </c>
      <c r="L50" s="122"/>
    </row>
    <row r="51" spans="1:12" ht="15">
      <c r="A51" s="130"/>
      <c r="B51" s="150"/>
      <c r="C51" s="120"/>
      <c r="D51" s="120"/>
      <c r="E51" s="120"/>
      <c r="F51" s="120"/>
      <c r="G51" s="120"/>
      <c r="H51" s="120"/>
      <c r="I51" s="120"/>
      <c r="J51" s="133">
        <v>40</v>
      </c>
      <c r="K51" s="133" t="s">
        <v>920</v>
      </c>
      <c r="L51" s="122"/>
    </row>
    <row r="52" spans="1:12" ht="15">
      <c r="A52" s="130"/>
      <c r="B52" s="150"/>
      <c r="C52" s="120"/>
      <c r="D52" s="120"/>
      <c r="E52" s="120"/>
      <c r="F52" s="120"/>
      <c r="G52" s="120"/>
      <c r="H52" s="120"/>
      <c r="I52" s="120"/>
      <c r="J52" s="133">
        <v>41</v>
      </c>
      <c r="K52" s="133" t="s">
        <v>916</v>
      </c>
      <c r="L52" s="122"/>
    </row>
    <row r="53" spans="1:12" ht="15">
      <c r="A53" s="130"/>
      <c r="B53" s="150"/>
      <c r="C53" s="120"/>
      <c r="D53" s="120"/>
      <c r="E53" s="120"/>
      <c r="F53" s="120"/>
      <c r="G53" s="120"/>
      <c r="H53" s="120"/>
      <c r="I53" s="120"/>
      <c r="J53" s="133">
        <v>42</v>
      </c>
      <c r="K53" s="133" t="s">
        <v>933</v>
      </c>
      <c r="L53" s="122"/>
    </row>
    <row r="54" spans="1:12" ht="15">
      <c r="A54" s="130"/>
      <c r="B54" s="150"/>
      <c r="C54" s="120"/>
      <c r="D54" s="120"/>
      <c r="E54" s="120"/>
      <c r="F54" s="120"/>
      <c r="G54" s="120"/>
      <c r="H54" s="120"/>
      <c r="I54" s="120"/>
      <c r="J54" s="133">
        <v>43</v>
      </c>
      <c r="K54" s="133" t="s">
        <v>932</v>
      </c>
      <c r="L54" s="122"/>
    </row>
    <row r="55" spans="1:12" ht="15">
      <c r="A55" s="130"/>
      <c r="B55" s="150"/>
      <c r="C55" s="120"/>
      <c r="D55" s="120"/>
      <c r="E55" s="120"/>
      <c r="F55" s="120"/>
      <c r="G55" s="120"/>
      <c r="H55" s="120"/>
      <c r="I55" s="120"/>
      <c r="J55" s="133">
        <v>44</v>
      </c>
      <c r="K55" s="133" t="s">
        <v>913</v>
      </c>
      <c r="L55" s="122"/>
    </row>
    <row r="56" spans="1:12" ht="15">
      <c r="A56" s="130"/>
      <c r="B56" s="150"/>
      <c r="C56" s="120"/>
      <c r="D56" s="120"/>
      <c r="E56" s="120"/>
      <c r="F56" s="120"/>
      <c r="G56" s="120"/>
      <c r="H56" s="120"/>
      <c r="I56" s="120"/>
      <c r="J56" s="133">
        <v>45</v>
      </c>
      <c r="K56" s="133" t="s">
        <v>919</v>
      </c>
      <c r="L56" s="122"/>
    </row>
    <row r="57" spans="1:12" ht="15">
      <c r="A57" s="130"/>
      <c r="B57" s="150"/>
      <c r="C57" s="120"/>
      <c r="D57" s="120"/>
      <c r="E57" s="120"/>
      <c r="F57" s="120"/>
      <c r="G57" s="120"/>
      <c r="H57" s="120"/>
      <c r="I57" s="120"/>
      <c r="J57" s="133">
        <v>46</v>
      </c>
      <c r="K57" s="133" t="s">
        <v>918</v>
      </c>
      <c r="L57" s="122"/>
    </row>
    <row r="58" spans="1:12" ht="15">
      <c r="A58" s="130"/>
      <c r="B58" s="150"/>
      <c r="C58" s="120"/>
      <c r="D58" s="120"/>
      <c r="E58" s="120"/>
      <c r="F58" s="120"/>
      <c r="G58" s="120"/>
      <c r="H58" s="120"/>
      <c r="I58" s="120"/>
      <c r="J58" s="133">
        <v>47</v>
      </c>
      <c r="K58" s="133" t="s">
        <v>914</v>
      </c>
      <c r="L58" s="122"/>
    </row>
    <row r="59" spans="1:12" ht="15">
      <c r="A59" s="130"/>
      <c r="B59" s="150"/>
      <c r="C59" s="120"/>
      <c r="D59" s="120"/>
      <c r="E59" s="120"/>
      <c r="F59" s="120"/>
      <c r="G59" s="120"/>
      <c r="H59" s="120"/>
      <c r="I59" s="120"/>
      <c r="J59" s="133">
        <v>48</v>
      </c>
      <c r="K59" s="133" t="s">
        <v>911</v>
      </c>
      <c r="L59" s="122"/>
    </row>
    <row r="60" spans="1:12" ht="15">
      <c r="A60" s="130"/>
      <c r="B60" s="150"/>
      <c r="C60" s="120"/>
      <c r="D60" s="120"/>
      <c r="E60" s="120"/>
      <c r="F60" s="120"/>
      <c r="G60" s="120"/>
      <c r="H60" s="120"/>
      <c r="J60" s="120"/>
      <c r="K60" s="120"/>
      <c r="L60" s="122"/>
    </row>
    <row r="61" spans="1:12" ht="15">
      <c r="A61" s="130"/>
      <c r="B61" s="150"/>
      <c r="C61" s="120"/>
      <c r="D61" s="120"/>
      <c r="E61" s="120"/>
      <c r="F61" s="120"/>
      <c r="G61" s="120"/>
      <c r="H61" s="120"/>
      <c r="I61" s="130"/>
      <c r="J61" s="120"/>
      <c r="K61" s="120"/>
      <c r="L61" s="122"/>
    </row>
    <row r="62" spans="1:12" ht="15">
      <c r="A62" s="130"/>
      <c r="B62" s="150"/>
      <c r="C62" s="120"/>
      <c r="D62" s="120"/>
      <c r="E62" s="120"/>
      <c r="F62" s="120"/>
      <c r="G62" s="120"/>
      <c r="H62" s="120"/>
      <c r="I62" s="130"/>
      <c r="J62" s="120"/>
      <c r="K62" s="120"/>
      <c r="L62" s="122"/>
    </row>
    <row r="63" spans="1:12" ht="15">
      <c r="A63" s="130"/>
      <c r="B63" s="150"/>
      <c r="C63" s="120"/>
      <c r="D63" s="120"/>
      <c r="E63" s="120"/>
      <c r="F63" s="120"/>
      <c r="G63" s="120"/>
      <c r="H63" s="120"/>
      <c r="I63" s="130"/>
      <c r="J63" s="120"/>
      <c r="K63" s="120"/>
      <c r="L63" s="122"/>
    </row>
    <row r="64" spans="1:12" ht="15">
      <c r="A64" s="130"/>
      <c r="B64" s="150"/>
      <c r="C64" s="120"/>
      <c r="D64" s="120"/>
      <c r="E64" s="120"/>
      <c r="F64" s="120"/>
      <c r="G64" s="120"/>
      <c r="H64" s="120"/>
      <c r="I64" s="130"/>
      <c r="J64" s="120"/>
      <c r="K64" s="120"/>
      <c r="L64" s="122"/>
    </row>
    <row r="65" spans="1:12" ht="15">
      <c r="A65" s="130"/>
      <c r="B65" s="150"/>
      <c r="C65" s="120"/>
      <c r="D65" s="120"/>
      <c r="E65" s="120"/>
      <c r="F65" s="120"/>
      <c r="G65" s="120"/>
      <c r="H65" s="120"/>
      <c r="I65" s="130"/>
      <c r="J65" s="120"/>
      <c r="K65" s="120"/>
      <c r="L65" s="122"/>
    </row>
    <row r="66" spans="1:12" ht="15">
      <c r="A66" s="130"/>
      <c r="B66" s="150"/>
      <c r="C66" s="120"/>
      <c r="D66" s="120"/>
      <c r="E66" s="120"/>
      <c r="F66" s="120"/>
      <c r="G66" s="120"/>
      <c r="H66" s="120"/>
      <c r="I66" s="130"/>
      <c r="J66" s="120"/>
      <c r="K66" s="120"/>
      <c r="L66" s="122"/>
    </row>
    <row r="67" spans="1:12" ht="15">
      <c r="A67" s="130"/>
      <c r="B67" s="150"/>
      <c r="C67" s="120"/>
      <c r="D67" s="120"/>
      <c r="E67" s="120"/>
      <c r="F67" s="120"/>
      <c r="G67" s="120"/>
      <c r="H67" s="120"/>
      <c r="I67" s="130"/>
      <c r="J67" s="120"/>
      <c r="K67" s="120"/>
      <c r="L67" s="122"/>
    </row>
    <row r="68" spans="1:12" ht="15">
      <c r="A68" s="130"/>
      <c r="B68" s="150"/>
      <c r="C68" s="120"/>
      <c r="D68" s="120"/>
      <c r="E68" s="120"/>
      <c r="F68" s="120"/>
      <c r="G68" s="120"/>
      <c r="H68" s="120"/>
      <c r="I68" s="130"/>
      <c r="J68" s="120"/>
      <c r="K68" s="120"/>
      <c r="L68" s="122"/>
    </row>
    <row r="69" spans="1:12" ht="15">
      <c r="A69" s="130"/>
      <c r="B69" s="150"/>
      <c r="C69" s="120"/>
      <c r="D69" s="120"/>
      <c r="E69" s="120"/>
      <c r="F69" s="120"/>
      <c r="G69" s="120"/>
      <c r="H69" s="120"/>
      <c r="I69" s="130"/>
      <c r="J69" s="120"/>
      <c r="K69" s="120"/>
      <c r="L69" s="122"/>
    </row>
    <row r="70" spans="1:12" ht="15">
      <c r="A70" s="130"/>
      <c r="B70" s="150"/>
      <c r="C70" s="120"/>
      <c r="D70" s="120"/>
      <c r="E70" s="120"/>
      <c r="F70" s="120"/>
      <c r="G70" s="120"/>
      <c r="H70" s="120"/>
      <c r="I70" s="130"/>
      <c r="J70" s="120"/>
      <c r="K70" s="120"/>
      <c r="L70" s="122"/>
    </row>
    <row r="71" spans="1:12" ht="15">
      <c r="A71" s="130"/>
      <c r="B71" s="150"/>
      <c r="C71" s="120"/>
      <c r="D71" s="120"/>
      <c r="E71" s="120"/>
      <c r="F71" s="120"/>
      <c r="G71" s="120"/>
      <c r="H71" s="120"/>
      <c r="I71" s="130"/>
      <c r="J71" s="120"/>
      <c r="K71" s="120"/>
      <c r="L71" s="122"/>
    </row>
    <row r="72" spans="1:12" ht="15">
      <c r="A72" s="130"/>
      <c r="B72" s="150"/>
      <c r="C72" s="120"/>
      <c r="D72" s="120"/>
      <c r="E72" s="120"/>
      <c r="F72" s="120"/>
      <c r="G72" s="120"/>
      <c r="H72" s="120"/>
      <c r="I72" s="130"/>
      <c r="J72" s="120"/>
      <c r="K72" s="120"/>
      <c r="L72" s="122"/>
    </row>
    <row r="73" spans="1:12" ht="15">
      <c r="A73" s="130"/>
      <c r="B73" s="150"/>
      <c r="C73" s="120"/>
      <c r="D73" s="120"/>
      <c r="E73" s="120"/>
      <c r="F73" s="120"/>
      <c r="G73" s="120"/>
      <c r="H73" s="120"/>
      <c r="I73" s="130"/>
      <c r="J73" s="120"/>
      <c r="K73" s="120"/>
      <c r="L73" s="122"/>
    </row>
    <row r="74" spans="1:12" ht="15">
      <c r="A74" s="130"/>
      <c r="B74" s="150"/>
      <c r="C74" s="120"/>
      <c r="D74" s="120"/>
      <c r="E74" s="120"/>
      <c r="F74" s="120"/>
      <c r="G74" s="120"/>
      <c r="H74" s="120"/>
      <c r="I74" s="130"/>
      <c r="J74" s="120"/>
      <c r="K74" s="120"/>
      <c r="L74" s="122"/>
    </row>
    <row r="75" spans="1:12" ht="15">
      <c r="A75" s="130"/>
      <c r="B75" s="150"/>
      <c r="C75" s="120"/>
      <c r="D75" s="120"/>
      <c r="E75" s="120"/>
      <c r="F75" s="120"/>
      <c r="G75" s="120"/>
      <c r="H75" s="120"/>
      <c r="I75" s="130"/>
      <c r="J75" s="120"/>
      <c r="K75" s="120"/>
      <c r="L75" s="122"/>
    </row>
    <row r="76" spans="1:12" ht="15">
      <c r="A76" s="130"/>
      <c r="B76" s="150"/>
      <c r="C76" s="120"/>
      <c r="D76" s="120"/>
      <c r="E76" s="120"/>
      <c r="F76" s="120"/>
      <c r="G76" s="120"/>
      <c r="H76" s="120"/>
      <c r="I76" s="120"/>
      <c r="J76" s="120"/>
      <c r="K76" s="120"/>
      <c r="L76" s="122"/>
    </row>
    <row r="77" spans="1:12" ht="15">
      <c r="A77" s="130"/>
      <c r="B77" s="150"/>
      <c r="C77" s="120"/>
      <c r="D77" s="120"/>
      <c r="E77" s="120"/>
      <c r="F77" s="120"/>
      <c r="G77" s="120"/>
      <c r="H77" s="120"/>
      <c r="I77" s="120"/>
      <c r="J77" s="120"/>
      <c r="K77" s="152"/>
      <c r="L77" s="122"/>
    </row>
    <row r="78" spans="1:12" ht="15">
      <c r="A78" s="130"/>
      <c r="B78" s="150"/>
      <c r="C78" s="120"/>
      <c r="D78" s="120"/>
      <c r="E78" s="120"/>
      <c r="F78" s="120"/>
      <c r="G78" s="120"/>
      <c r="H78" s="120"/>
      <c r="I78" s="120"/>
      <c r="J78" s="120"/>
      <c r="K78" s="152"/>
      <c r="L78" s="122"/>
    </row>
    <row r="79" spans="1:12" ht="15">
      <c r="A79" s="130"/>
      <c r="B79" s="150"/>
      <c r="C79" s="120"/>
      <c r="D79" s="120"/>
      <c r="E79" s="120"/>
      <c r="F79" s="120"/>
      <c r="G79" s="120"/>
      <c r="H79" s="120"/>
      <c r="I79" s="120"/>
      <c r="J79" s="120"/>
      <c r="K79" s="152"/>
      <c r="L79" s="122"/>
    </row>
    <row r="80" spans="1:12" ht="15">
      <c r="A80" s="130"/>
      <c r="B80" s="150"/>
      <c r="C80" s="120"/>
      <c r="D80" s="120"/>
      <c r="E80" s="120"/>
      <c r="F80" s="120"/>
      <c r="G80" s="120"/>
      <c r="H80" s="120"/>
      <c r="I80" s="120"/>
      <c r="J80" s="120"/>
      <c r="K80" s="152"/>
      <c r="L80" s="122"/>
    </row>
    <row r="81" spans="1:12" ht="15">
      <c r="A81" s="130"/>
      <c r="B81" s="150"/>
      <c r="C81" s="120"/>
      <c r="D81" s="120"/>
      <c r="E81" s="120"/>
      <c r="F81" s="120"/>
      <c r="G81" s="120"/>
      <c r="H81" s="120"/>
      <c r="I81" s="120"/>
      <c r="J81" s="120"/>
      <c r="K81" s="152"/>
      <c r="L81" s="122"/>
    </row>
    <row r="82" spans="1:12" ht="15">
      <c r="A82" s="130"/>
      <c r="B82" s="150"/>
      <c r="C82" s="120"/>
      <c r="D82" s="120"/>
      <c r="E82" s="120"/>
      <c r="F82" s="120"/>
      <c r="G82" s="120"/>
      <c r="H82" s="120"/>
      <c r="I82" s="120"/>
      <c r="J82" s="120"/>
      <c r="K82" s="152"/>
      <c r="L82" s="122"/>
    </row>
    <row r="83" spans="1:12" ht="15">
      <c r="A83" s="130"/>
      <c r="B83" s="150"/>
      <c r="C83" s="120"/>
      <c r="D83" s="120"/>
      <c r="E83" s="120"/>
      <c r="F83" s="120"/>
      <c r="G83" s="120"/>
      <c r="H83" s="120"/>
      <c r="I83" s="120"/>
      <c r="J83" s="120"/>
      <c r="K83" s="152"/>
      <c r="L83" s="122"/>
    </row>
    <row r="84" spans="1:12" ht="15">
      <c r="A84" s="130"/>
      <c r="B84" s="150"/>
      <c r="C84" s="120"/>
      <c r="D84" s="120"/>
      <c r="E84" s="120"/>
      <c r="F84" s="120"/>
      <c r="G84" s="120"/>
      <c r="H84" s="120"/>
      <c r="I84" s="120"/>
      <c r="J84" s="120"/>
      <c r="K84" s="152"/>
      <c r="L84" s="122"/>
    </row>
    <row r="85" spans="1:12" ht="15">
      <c r="A85" s="130"/>
      <c r="B85" s="150"/>
      <c r="C85" s="120"/>
      <c r="D85" s="120"/>
      <c r="E85" s="120"/>
      <c r="F85" s="120"/>
      <c r="G85" s="120"/>
      <c r="H85" s="120"/>
      <c r="I85" s="120"/>
      <c r="J85" s="120"/>
      <c r="K85" s="152"/>
      <c r="L85" s="122"/>
    </row>
    <row r="86" spans="1:12" ht="15">
      <c r="A86" s="130"/>
      <c r="B86" s="150"/>
      <c r="C86" s="120"/>
      <c r="D86" s="120"/>
      <c r="E86" s="120"/>
      <c r="F86" s="120"/>
      <c r="G86" s="120"/>
      <c r="H86" s="120"/>
      <c r="I86" s="120"/>
      <c r="J86" s="120"/>
      <c r="K86" s="152"/>
      <c r="L86" s="122"/>
    </row>
    <row r="87" spans="1:12" ht="15">
      <c r="A87" s="130"/>
      <c r="B87" s="150"/>
      <c r="C87" s="120"/>
      <c r="D87" s="120"/>
      <c r="E87" s="120"/>
      <c r="F87" s="120"/>
      <c r="G87" s="120"/>
      <c r="H87" s="120"/>
      <c r="I87" s="120"/>
      <c r="J87" s="120"/>
      <c r="K87" s="152"/>
      <c r="L87" s="122"/>
    </row>
    <row r="88" spans="1:12" ht="15">
      <c r="A88" s="130"/>
      <c r="B88" s="150"/>
      <c r="C88" s="120"/>
      <c r="D88" s="120"/>
      <c r="E88" s="120"/>
      <c r="F88" s="120"/>
      <c r="G88" s="120"/>
      <c r="H88" s="120"/>
      <c r="I88" s="120"/>
      <c r="J88" s="120"/>
      <c r="K88" s="152"/>
      <c r="L88" s="122"/>
    </row>
    <row r="89" spans="1:12" ht="15">
      <c r="A89" s="130"/>
      <c r="B89" s="150"/>
      <c r="C89" s="120"/>
      <c r="D89" s="120"/>
      <c r="E89" s="120"/>
      <c r="F89" s="120"/>
      <c r="G89" s="120"/>
      <c r="H89" s="120"/>
      <c r="I89" s="120"/>
      <c r="J89" s="120"/>
      <c r="K89" s="152"/>
      <c r="L89" s="122"/>
    </row>
    <row r="90" spans="1:12" ht="15">
      <c r="A90" s="130"/>
      <c r="B90" s="150"/>
      <c r="C90" s="120"/>
      <c r="D90" s="120"/>
      <c r="E90" s="120"/>
      <c r="F90" s="120"/>
      <c r="G90" s="120"/>
      <c r="H90" s="120"/>
      <c r="I90" s="120"/>
      <c r="J90" s="120"/>
      <c r="K90" s="152"/>
      <c r="L90" s="122"/>
    </row>
    <row r="91" spans="1:12" ht="15">
      <c r="A91" s="130"/>
      <c r="B91" s="150"/>
      <c r="C91" s="120"/>
      <c r="D91" s="120"/>
      <c r="E91" s="120"/>
      <c r="F91" s="120"/>
      <c r="G91" s="120"/>
      <c r="H91" s="120"/>
      <c r="I91" s="120"/>
      <c r="J91" s="120"/>
      <c r="K91" s="152"/>
      <c r="L91" s="122"/>
    </row>
    <row r="92" spans="1:12" ht="15">
      <c r="A92" s="130"/>
      <c r="B92" s="150"/>
      <c r="C92" s="120"/>
      <c r="D92" s="120"/>
      <c r="E92" s="120"/>
      <c r="F92" s="120"/>
      <c r="G92" s="120"/>
      <c r="H92" s="120"/>
      <c r="I92" s="120"/>
      <c r="J92" s="120"/>
      <c r="K92" s="152"/>
      <c r="L92" s="122"/>
    </row>
    <row r="93" spans="1:12" ht="15">
      <c r="A93" s="130"/>
      <c r="B93" s="150"/>
      <c r="C93" s="120"/>
      <c r="D93" s="120"/>
      <c r="E93" s="120"/>
      <c r="F93" s="120"/>
      <c r="G93" s="120"/>
      <c r="H93" s="120"/>
      <c r="I93" s="120"/>
      <c r="J93" s="120"/>
      <c r="K93" s="152"/>
      <c r="L93" s="122"/>
    </row>
    <row r="94" spans="1:12" ht="15">
      <c r="A94" s="130"/>
      <c r="B94" s="150"/>
      <c r="C94" s="120"/>
      <c r="D94" s="120"/>
      <c r="E94" s="120"/>
      <c r="F94" s="120"/>
      <c r="G94" s="120"/>
      <c r="H94" s="120"/>
      <c r="I94" s="120"/>
      <c r="J94" s="120"/>
      <c r="K94" s="152"/>
      <c r="L94" s="122"/>
    </row>
    <row r="95" spans="1:12" ht="15">
      <c r="A95" s="130"/>
      <c r="B95" s="150"/>
      <c r="C95" s="120"/>
      <c r="D95" s="120"/>
      <c r="E95" s="120"/>
      <c r="F95" s="120"/>
      <c r="G95" s="120"/>
      <c r="H95" s="120"/>
      <c r="I95" s="120"/>
      <c r="J95" s="120"/>
      <c r="K95" s="152"/>
      <c r="L95" s="122"/>
    </row>
    <row r="96" spans="1:12" ht="15">
      <c r="A96" s="130"/>
      <c r="B96" s="150"/>
      <c r="C96" s="120"/>
      <c r="D96" s="120"/>
      <c r="E96" s="120"/>
      <c r="F96" s="120"/>
      <c r="G96" s="120"/>
      <c r="H96" s="120"/>
      <c r="I96" s="120"/>
      <c r="J96" s="120"/>
      <c r="K96" s="152"/>
      <c r="L96" s="122"/>
    </row>
    <row r="97" spans="1:12" ht="15">
      <c r="A97" s="130"/>
      <c r="B97" s="150"/>
      <c r="C97" s="120"/>
      <c r="D97" s="120"/>
      <c r="E97" s="120"/>
      <c r="F97" s="120"/>
      <c r="G97" s="120"/>
      <c r="H97" s="120"/>
      <c r="I97" s="120"/>
      <c r="J97" s="120"/>
      <c r="K97" s="152"/>
      <c r="L97" s="122"/>
    </row>
    <row r="98" spans="1:12" ht="15">
      <c r="A98" s="130"/>
      <c r="B98" s="150"/>
      <c r="C98" s="120"/>
      <c r="D98" s="120"/>
      <c r="E98" s="120"/>
      <c r="F98" s="120"/>
      <c r="G98" s="120"/>
      <c r="H98" s="120"/>
      <c r="I98" s="120"/>
      <c r="J98" s="120"/>
      <c r="K98" s="152"/>
      <c r="L98" s="122"/>
    </row>
    <row r="99" spans="1:12" ht="15">
      <c r="A99" s="130"/>
      <c r="B99" s="150"/>
      <c r="C99" s="120"/>
      <c r="D99" s="120"/>
      <c r="E99" s="120"/>
      <c r="F99" s="120"/>
      <c r="G99" s="120"/>
      <c r="H99" s="120"/>
      <c r="I99" s="120"/>
      <c r="J99" s="120"/>
      <c r="K99" s="152"/>
      <c r="L99" s="122"/>
    </row>
    <row r="100" spans="1:12" ht="15">
      <c r="A100" s="130"/>
      <c r="B100" s="150"/>
      <c r="C100" s="120"/>
      <c r="D100" s="120"/>
      <c r="E100" s="120"/>
      <c r="F100" s="120"/>
      <c r="G100" s="120"/>
      <c r="H100" s="120"/>
      <c r="I100" s="120"/>
      <c r="J100" s="120"/>
      <c r="K100" s="152"/>
      <c r="L100" s="122"/>
    </row>
    <row r="101" spans="1:12" ht="15">
      <c r="A101" s="130"/>
      <c r="B101" s="150"/>
      <c r="C101" s="120"/>
      <c r="D101" s="120"/>
      <c r="E101" s="120"/>
      <c r="F101" s="120"/>
      <c r="G101" s="120"/>
      <c r="H101" s="120"/>
      <c r="I101" s="120"/>
      <c r="J101" s="120"/>
      <c r="K101" s="152"/>
      <c r="L101" s="122"/>
    </row>
    <row r="102" spans="1:12" ht="15">
      <c r="A102" s="130"/>
      <c r="B102" s="150"/>
      <c r="C102" s="120"/>
      <c r="D102" s="120"/>
      <c r="E102" s="120"/>
      <c r="F102" s="120"/>
      <c r="G102" s="120"/>
      <c r="H102" s="120"/>
      <c r="I102" s="120"/>
      <c r="J102" s="120"/>
      <c r="K102" s="152"/>
      <c r="L102" s="122"/>
    </row>
    <row r="103" spans="1:12" ht="15">
      <c r="A103" s="130"/>
      <c r="B103" s="150"/>
      <c r="C103" s="120"/>
      <c r="D103" s="120"/>
      <c r="E103" s="120"/>
      <c r="F103" s="120"/>
      <c r="G103" s="120"/>
      <c r="H103" s="120"/>
      <c r="I103" s="120"/>
      <c r="J103" s="120"/>
      <c r="K103" s="152"/>
      <c r="L103" s="122"/>
    </row>
    <row r="104" spans="1:12" ht="15">
      <c r="A104" s="130"/>
      <c r="B104" s="150"/>
      <c r="C104" s="120"/>
      <c r="D104" s="120"/>
      <c r="E104" s="120"/>
      <c r="F104" s="120"/>
      <c r="G104" s="120"/>
      <c r="H104" s="120"/>
      <c r="I104" s="120"/>
      <c r="J104" s="120"/>
      <c r="K104" s="152"/>
      <c r="L104" s="122"/>
    </row>
    <row r="105" spans="1:12" ht="15">
      <c r="A105" s="130"/>
      <c r="B105" s="150"/>
      <c r="C105" s="120"/>
      <c r="D105" s="120"/>
      <c r="E105" s="120"/>
      <c r="F105" s="120"/>
      <c r="G105" s="120"/>
      <c r="H105" s="120"/>
      <c r="I105" s="120"/>
      <c r="J105" s="120"/>
      <c r="K105" s="152"/>
      <c r="L105" s="122"/>
    </row>
    <row r="106" spans="1:12" ht="15">
      <c r="A106" s="130"/>
      <c r="B106" s="150"/>
      <c r="C106" s="120"/>
      <c r="D106" s="120"/>
      <c r="E106" s="120"/>
      <c r="F106" s="120"/>
      <c r="G106" s="120"/>
      <c r="H106" s="120"/>
      <c r="I106" s="120"/>
      <c r="J106" s="120"/>
      <c r="K106" s="152"/>
      <c r="L106" s="122"/>
    </row>
    <row r="107" spans="1:12" ht="15">
      <c r="A107" s="130"/>
      <c r="B107" s="150"/>
      <c r="C107" s="120"/>
      <c r="D107" s="120"/>
      <c r="E107" s="120"/>
      <c r="F107" s="120"/>
      <c r="G107" s="120"/>
      <c r="H107" s="120"/>
      <c r="I107" s="120"/>
      <c r="J107" s="120"/>
      <c r="K107" s="152"/>
      <c r="L107" s="122"/>
    </row>
    <row r="108" spans="1:12" ht="15">
      <c r="A108" s="130"/>
      <c r="B108" s="150"/>
      <c r="C108" s="120"/>
      <c r="D108" s="120"/>
      <c r="E108" s="120"/>
      <c r="F108" s="120"/>
      <c r="G108" s="120"/>
      <c r="H108" s="120"/>
      <c r="I108" s="120"/>
      <c r="J108" s="120"/>
      <c r="K108" s="152"/>
      <c r="L108" s="122"/>
    </row>
    <row r="109" spans="1:12" ht="15">
      <c r="A109" s="130"/>
      <c r="B109" s="150"/>
      <c r="C109" s="120"/>
      <c r="D109" s="120"/>
      <c r="E109" s="120"/>
      <c r="F109" s="120"/>
      <c r="G109" s="120"/>
      <c r="H109" s="120"/>
      <c r="I109" s="120"/>
      <c r="J109" s="120"/>
      <c r="K109" s="152"/>
      <c r="L109" s="122"/>
    </row>
    <row r="110" spans="1:12" ht="15">
      <c r="A110" s="130"/>
      <c r="B110" s="150"/>
      <c r="C110" s="120"/>
      <c r="D110" s="120"/>
      <c r="E110" s="120"/>
      <c r="F110" s="120"/>
      <c r="G110" s="120"/>
      <c r="H110" s="120"/>
      <c r="I110" s="120"/>
      <c r="J110" s="120"/>
      <c r="K110" s="152"/>
      <c r="L110" s="122"/>
    </row>
    <row r="111" spans="1:12" ht="15">
      <c r="A111" s="130"/>
      <c r="B111" s="150"/>
      <c r="C111" s="120"/>
      <c r="D111" s="120"/>
      <c r="E111" s="120"/>
      <c r="F111" s="120"/>
      <c r="G111" s="120"/>
      <c r="H111" s="120"/>
      <c r="I111" s="120"/>
      <c r="J111" s="120"/>
      <c r="K111" s="152"/>
      <c r="L111" s="122"/>
    </row>
    <row r="112" spans="1:12" ht="15">
      <c r="A112" s="130"/>
      <c r="B112" s="150"/>
      <c r="C112" s="120"/>
      <c r="D112" s="120"/>
      <c r="E112" s="120"/>
      <c r="F112" s="120"/>
      <c r="G112" s="120"/>
      <c r="H112" s="120"/>
      <c r="I112" s="120"/>
      <c r="J112" s="120"/>
      <c r="K112" s="152"/>
      <c r="L112" s="122"/>
    </row>
    <row r="113" spans="1:12" ht="15">
      <c r="A113" s="130"/>
      <c r="B113" s="150"/>
      <c r="C113" s="120"/>
      <c r="D113" s="120"/>
      <c r="E113" s="120"/>
      <c r="F113" s="120"/>
      <c r="G113" s="120"/>
      <c r="H113" s="120"/>
      <c r="I113" s="120"/>
      <c r="J113" s="120"/>
      <c r="K113" s="152"/>
      <c r="L113" s="122"/>
    </row>
    <row r="114" spans="1:12" ht="15">
      <c r="A114" s="130"/>
      <c r="B114" s="150"/>
      <c r="C114" s="120"/>
      <c r="D114" s="120"/>
      <c r="E114" s="120"/>
      <c r="F114" s="120"/>
      <c r="G114" s="120"/>
      <c r="H114" s="120"/>
      <c r="I114" s="120"/>
      <c r="J114" s="120"/>
      <c r="K114" s="152"/>
      <c r="L114" s="122"/>
    </row>
    <row r="115" spans="1:12" ht="15">
      <c r="A115" s="130"/>
      <c r="B115" s="150"/>
      <c r="C115" s="120"/>
      <c r="D115" s="120"/>
      <c r="E115" s="120"/>
      <c r="F115" s="120"/>
      <c r="G115" s="120"/>
      <c r="H115" s="120"/>
      <c r="I115" s="120"/>
      <c r="J115" s="120"/>
      <c r="K115" s="152"/>
      <c r="L115" s="122"/>
    </row>
    <row r="116" spans="1:12" ht="15">
      <c r="A116" s="130"/>
      <c r="B116" s="150"/>
      <c r="C116" s="120"/>
      <c r="D116" s="120"/>
      <c r="E116" s="120"/>
      <c r="F116" s="120"/>
      <c r="G116" s="120"/>
      <c r="H116" s="120"/>
      <c r="I116" s="120"/>
      <c r="J116" s="120"/>
      <c r="K116" s="152"/>
      <c r="L116" s="122"/>
    </row>
    <row r="117" spans="1:12" ht="15">
      <c r="A117" s="130"/>
      <c r="B117" s="150"/>
      <c r="C117" s="120"/>
      <c r="D117" s="120"/>
      <c r="E117" s="120"/>
      <c r="F117" s="120"/>
      <c r="G117" s="120"/>
      <c r="H117" s="120"/>
      <c r="I117" s="120"/>
      <c r="J117" s="120"/>
      <c r="K117" s="152"/>
      <c r="L117" s="122"/>
    </row>
    <row r="118" spans="1:12" ht="15">
      <c r="A118" s="130"/>
      <c r="B118" s="150"/>
      <c r="C118" s="120"/>
      <c r="D118" s="120"/>
      <c r="E118" s="120"/>
      <c r="F118" s="120"/>
      <c r="G118" s="120"/>
      <c r="H118" s="120"/>
      <c r="I118" s="120"/>
      <c r="J118" s="120"/>
      <c r="K118" s="152"/>
      <c r="L118" s="122"/>
    </row>
    <row r="119" spans="1:12" ht="15">
      <c r="A119" s="130"/>
      <c r="B119" s="150"/>
      <c r="C119" s="120"/>
      <c r="D119" s="120"/>
      <c r="E119" s="120"/>
      <c r="F119" s="120"/>
      <c r="G119" s="120"/>
      <c r="H119" s="120"/>
      <c r="I119" s="120"/>
      <c r="J119" s="120"/>
      <c r="K119" s="152"/>
      <c r="L119" s="122"/>
    </row>
    <row r="120" spans="1:12" ht="15">
      <c r="A120" s="130"/>
      <c r="B120" s="150"/>
      <c r="C120" s="120"/>
      <c r="D120" s="120"/>
      <c r="E120" s="120"/>
      <c r="F120" s="120"/>
      <c r="G120" s="120"/>
      <c r="H120" s="120"/>
      <c r="I120" s="120"/>
      <c r="J120" s="120"/>
      <c r="K120" s="152"/>
      <c r="L120" s="122"/>
    </row>
    <row r="121" spans="1:12" ht="15">
      <c r="A121" s="130"/>
      <c r="B121" s="150"/>
      <c r="C121" s="120"/>
      <c r="D121" s="120"/>
      <c r="E121" s="120"/>
      <c r="F121" s="120"/>
      <c r="G121" s="120"/>
      <c r="H121" s="120"/>
      <c r="I121" s="120"/>
      <c r="J121" s="120"/>
      <c r="K121" s="152"/>
      <c r="L121" s="122"/>
    </row>
    <row r="122" spans="1:12" ht="15">
      <c r="A122" s="130"/>
      <c r="B122" s="150"/>
      <c r="C122" s="120"/>
      <c r="D122" s="120"/>
      <c r="E122" s="120"/>
      <c r="F122" s="120"/>
      <c r="G122" s="120"/>
      <c r="H122" s="120"/>
      <c r="I122" s="120"/>
      <c r="J122" s="120"/>
      <c r="K122" s="152"/>
      <c r="L122" s="122"/>
    </row>
    <row r="123" spans="1:12" ht="15">
      <c r="A123" s="130"/>
      <c r="B123" s="150"/>
      <c r="C123" s="120"/>
      <c r="D123" s="120"/>
      <c r="E123" s="120"/>
      <c r="F123" s="120"/>
      <c r="G123" s="120"/>
      <c r="H123" s="120"/>
      <c r="I123" s="120"/>
      <c r="J123" s="120"/>
      <c r="K123" s="152"/>
      <c r="L123" s="122"/>
    </row>
    <row r="124" spans="1:12" ht="15">
      <c r="A124" s="130"/>
      <c r="B124" s="150"/>
      <c r="C124" s="120"/>
      <c r="D124" s="120"/>
      <c r="E124" s="120"/>
      <c r="F124" s="120"/>
      <c r="G124" s="120"/>
      <c r="H124" s="120"/>
      <c r="I124" s="120"/>
      <c r="J124" s="120"/>
      <c r="K124" s="152"/>
      <c r="L124" s="122"/>
    </row>
    <row r="125" spans="1:12" ht="15">
      <c r="A125" s="130"/>
      <c r="B125" s="150"/>
      <c r="C125" s="120"/>
      <c r="D125" s="120"/>
      <c r="E125" s="120"/>
      <c r="F125" s="120"/>
      <c r="G125" s="120"/>
      <c r="H125" s="120"/>
      <c r="I125" s="120"/>
      <c r="J125" s="120"/>
      <c r="K125" s="152"/>
      <c r="L125" s="122"/>
    </row>
    <row r="126" spans="1:12" ht="15">
      <c r="A126" s="130"/>
      <c r="B126" s="150"/>
      <c r="C126" s="120"/>
      <c r="D126" s="120"/>
      <c r="E126" s="120"/>
      <c r="F126" s="120"/>
      <c r="G126" s="120"/>
      <c r="H126" s="120"/>
      <c r="I126" s="120"/>
      <c r="J126" s="120"/>
      <c r="K126" s="152"/>
      <c r="L126" s="122"/>
    </row>
    <row r="127" spans="1:12" ht="15">
      <c r="A127" s="130"/>
      <c r="B127" s="150"/>
      <c r="C127" s="120"/>
      <c r="D127" s="120"/>
      <c r="E127" s="120"/>
      <c r="F127" s="120"/>
      <c r="G127" s="120"/>
      <c r="H127" s="120"/>
      <c r="I127" s="120"/>
      <c r="J127" s="120"/>
      <c r="K127" s="152"/>
      <c r="L127" s="122"/>
    </row>
    <row r="128" spans="1:12" ht="15">
      <c r="A128" s="130"/>
      <c r="B128" s="150"/>
      <c r="C128" s="120"/>
      <c r="D128" s="120"/>
      <c r="E128" s="120"/>
      <c r="F128" s="120"/>
      <c r="G128" s="120"/>
      <c r="H128" s="120"/>
      <c r="I128" s="120"/>
      <c r="J128" s="120"/>
      <c r="K128" s="152"/>
      <c r="L128" s="122"/>
    </row>
    <row r="129" spans="1:12" ht="15">
      <c r="A129" s="130"/>
      <c r="B129" s="150"/>
      <c r="C129" s="120"/>
      <c r="D129" s="120"/>
      <c r="E129" s="120"/>
      <c r="F129" s="120"/>
      <c r="G129" s="120"/>
      <c r="H129" s="120"/>
      <c r="I129" s="120"/>
      <c r="J129" s="120"/>
      <c r="K129" s="152"/>
      <c r="L129" s="122"/>
    </row>
    <row r="130" spans="1:12" ht="15">
      <c r="A130" s="130"/>
      <c r="B130" s="150"/>
      <c r="C130" s="120"/>
      <c r="D130" s="120"/>
      <c r="E130" s="120"/>
      <c r="F130" s="120"/>
      <c r="G130" s="120"/>
      <c r="H130" s="120"/>
      <c r="I130" s="120"/>
      <c r="J130" s="120"/>
      <c r="K130" s="152"/>
      <c r="L130" s="122"/>
    </row>
    <row r="131" spans="1:12" ht="15">
      <c r="A131" s="130"/>
      <c r="B131" s="150"/>
      <c r="C131" s="120"/>
      <c r="D131" s="120"/>
      <c r="E131" s="120"/>
      <c r="F131" s="120"/>
      <c r="G131" s="120"/>
      <c r="H131" s="120"/>
      <c r="I131" s="120"/>
      <c r="J131" s="120"/>
      <c r="K131" s="152"/>
      <c r="L131" s="122"/>
    </row>
    <row r="132" spans="1:12" ht="15">
      <c r="A132" s="130"/>
      <c r="B132" s="150"/>
      <c r="C132" s="120"/>
      <c r="D132" s="120"/>
      <c r="E132" s="120"/>
      <c r="F132" s="120"/>
      <c r="G132" s="120"/>
      <c r="H132" s="120"/>
      <c r="I132" s="120"/>
      <c r="J132" s="120"/>
      <c r="K132" s="152"/>
      <c r="L132" s="122"/>
    </row>
    <row r="133" spans="1:12" ht="15">
      <c r="A133" s="130"/>
      <c r="B133" s="150"/>
      <c r="C133" s="120"/>
      <c r="D133" s="120"/>
      <c r="E133" s="120"/>
      <c r="F133" s="120"/>
      <c r="G133" s="120"/>
      <c r="H133" s="120"/>
      <c r="I133" s="120"/>
      <c r="J133" s="120"/>
      <c r="K133" s="152"/>
      <c r="L133" s="122"/>
    </row>
    <row r="134" spans="1:12" ht="15">
      <c r="A134" s="130"/>
      <c r="B134" s="150"/>
      <c r="C134" s="120"/>
      <c r="D134" s="120"/>
      <c r="E134" s="120"/>
      <c r="F134" s="120"/>
      <c r="G134" s="120"/>
      <c r="H134" s="120"/>
      <c r="I134" s="120"/>
      <c r="J134" s="120"/>
      <c r="K134" s="152"/>
      <c r="L134" s="122"/>
    </row>
    <row r="135" spans="1:12" ht="15">
      <c r="A135" s="130"/>
      <c r="B135" s="150"/>
      <c r="C135" s="120"/>
      <c r="D135" s="120"/>
      <c r="E135" s="120"/>
      <c r="F135" s="120"/>
      <c r="G135" s="120"/>
      <c r="H135" s="120"/>
      <c r="I135" s="120"/>
      <c r="J135" s="120"/>
      <c r="K135" s="152"/>
      <c r="L135" s="122"/>
    </row>
    <row r="136" spans="1:12" ht="15">
      <c r="A136" s="130"/>
      <c r="B136" s="150"/>
      <c r="C136" s="120"/>
      <c r="D136" s="120"/>
      <c r="E136" s="120"/>
      <c r="F136" s="120"/>
      <c r="G136" s="120"/>
      <c r="H136" s="120"/>
      <c r="I136" s="120"/>
      <c r="J136" s="120"/>
      <c r="K136" s="152"/>
      <c r="L136" s="122"/>
    </row>
    <row r="137" spans="1:12" ht="15">
      <c r="A137" s="120"/>
      <c r="B137" s="150"/>
      <c r="C137" s="120"/>
      <c r="D137" s="120"/>
      <c r="E137" s="120"/>
      <c r="F137" s="120"/>
      <c r="G137" s="120"/>
      <c r="H137" s="120"/>
      <c r="I137" s="120"/>
      <c r="J137" s="120"/>
      <c r="K137" s="152"/>
      <c r="L137" s="120"/>
    </row>
    <row r="138" spans="1:12" ht="15">
      <c r="A138" s="120"/>
      <c r="B138" s="150"/>
      <c r="C138" s="120"/>
      <c r="D138" s="120"/>
      <c r="E138" s="120"/>
      <c r="F138" s="120"/>
      <c r="G138" s="120"/>
      <c r="H138" s="120"/>
      <c r="I138" s="120"/>
      <c r="J138" s="120"/>
      <c r="K138" s="152"/>
      <c r="L138" s="122"/>
    </row>
    <row r="139" spans="1:12" ht="15">
      <c r="A139" s="120"/>
      <c r="B139" s="150"/>
      <c r="C139" s="120"/>
      <c r="D139" s="120"/>
      <c r="E139" s="120"/>
      <c r="F139" s="120"/>
      <c r="G139" s="120"/>
      <c r="H139" s="120"/>
      <c r="I139" s="120"/>
      <c r="J139" s="120"/>
      <c r="K139" s="152"/>
      <c r="L139" s="122"/>
    </row>
    <row r="140" spans="1:12" ht="15">
      <c r="A140" s="120"/>
      <c r="B140" s="150"/>
      <c r="C140" s="120"/>
      <c r="D140" s="120"/>
      <c r="E140" s="120"/>
      <c r="F140" s="120"/>
      <c r="G140" s="120"/>
      <c r="H140" s="120"/>
      <c r="I140" s="120"/>
      <c r="J140" s="120"/>
      <c r="K140" s="152"/>
      <c r="L140" s="122"/>
    </row>
    <row r="141" spans="1:12" ht="15">
      <c r="A141" s="120"/>
      <c r="B141" s="150"/>
      <c r="C141" s="120"/>
      <c r="D141" s="120"/>
      <c r="E141" s="120"/>
      <c r="F141" s="120"/>
      <c r="G141" s="120"/>
      <c r="H141" s="120"/>
      <c r="I141" s="120"/>
      <c r="J141" s="120"/>
      <c r="K141" s="152"/>
      <c r="L141" s="122"/>
    </row>
    <row r="142" spans="1:12" ht="15">
      <c r="A142" s="120"/>
      <c r="B142" s="150"/>
      <c r="C142" s="120"/>
      <c r="D142" s="120"/>
      <c r="E142" s="120"/>
      <c r="F142" s="120"/>
      <c r="G142" s="120"/>
      <c r="H142" s="120"/>
      <c r="I142" s="120"/>
      <c r="J142" s="120"/>
      <c r="K142" s="152"/>
      <c r="L142" s="122"/>
    </row>
    <row r="143" spans="1:12" ht="15">
      <c r="A143" s="120"/>
      <c r="B143" s="150"/>
      <c r="C143" s="120"/>
      <c r="D143" s="120"/>
      <c r="E143" s="120"/>
      <c r="F143" s="120"/>
      <c r="G143" s="120"/>
      <c r="H143" s="120"/>
      <c r="I143" s="120"/>
      <c r="J143" s="120"/>
      <c r="K143" s="152"/>
      <c r="L143" s="122"/>
    </row>
    <row r="144" spans="1:12" ht="15">
      <c r="A144" s="120"/>
      <c r="B144" s="153"/>
      <c r="C144" s="154"/>
      <c r="D144" s="154"/>
      <c r="E144" s="154"/>
      <c r="F144" s="154"/>
      <c r="G144" s="154"/>
      <c r="H144" s="154"/>
      <c r="I144" s="154"/>
      <c r="J144" s="154"/>
      <c r="K144" s="155"/>
      <c r="L144" s="122"/>
    </row>
    <row r="145" spans="1:12">
      <c r="A145" s="156"/>
      <c r="B145" s="157"/>
      <c r="C145" s="157"/>
      <c r="D145" s="157"/>
      <c r="E145" s="157"/>
      <c r="F145" s="157"/>
      <c r="G145" s="157"/>
      <c r="H145" s="157"/>
      <c r="I145" s="157"/>
      <c r="J145" s="157"/>
      <c r="K145" s="157"/>
      <c r="L145" s="158"/>
    </row>
  </sheetData>
  <mergeCells count="10">
    <mergeCell ref="A8:L8"/>
    <mergeCell ref="B10:K10"/>
    <mergeCell ref="J2:K2"/>
    <mergeCell ref="J4:K4"/>
    <mergeCell ref="J5:K5"/>
    <mergeCell ref="H2:I2"/>
    <mergeCell ref="H3:I3"/>
    <mergeCell ref="H4:I4"/>
    <mergeCell ref="H5:I5"/>
    <mergeCell ref="A6:L6"/>
  </mergeCells>
  <phoneticPr fontId="3" type="noConversion"/>
  <pageMargins left="0.7" right="0.7" top="0.75" bottom="0.75" header="0.3" footer="0.3"/>
  <pageSetup paperSize="9" scale="67" orientation="portrait" horizontalDpi="300" verticalDpi="90" r:id="rId1"/>
  <headerFooter>
    <oddHeader>&amp;C&amp;G</oddHeader>
    <oddFooter>&amp;C&amp;1#&amp;"맑은 고딕"&amp;6&amp;K737373관 윤 / 1628679@mobis.co.kr / 본 문서는 현대모비스의 대외비 정보자산이므로 무단 전재 및 복제할 수 없으며, 위반 시 당사 사규 및 관련 법규에 의해 제재될 수 있습니다.</oddFoot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theme="5"/>
  </sheetPr>
  <dimension ref="A1:AH72"/>
  <sheetViews>
    <sheetView topLeftCell="C19" zoomScale="85" zoomScaleNormal="85" zoomScaleSheetLayoutView="100" workbookViewId="0">
      <selection activeCell="R21" sqref="R21"/>
    </sheetView>
  </sheetViews>
  <sheetFormatPr defaultColWidth="9" defaultRowHeight="15"/>
  <cols>
    <col min="1" max="1" width="5.7109375" style="39" customWidth="1"/>
    <col min="2" max="2" width="14.7109375" style="39" bestFit="1" customWidth="1"/>
    <col min="3" max="3" width="9.42578125" style="72" customWidth="1"/>
    <col min="4" max="4" width="16.42578125" style="134" customWidth="1"/>
    <col min="5" max="5" width="14.42578125" style="72" bestFit="1" customWidth="1"/>
    <col min="6" max="6" width="15.7109375" style="72" customWidth="1"/>
    <col min="7" max="7" width="56" style="72" customWidth="1"/>
    <col min="8" max="8" width="32.28515625" style="23" customWidth="1"/>
    <col min="9" max="9" width="20" style="39" customWidth="1"/>
    <col min="10" max="10" width="3.42578125" style="39" customWidth="1"/>
    <col min="11" max="11" width="11.42578125" style="39" customWidth="1"/>
    <col min="12" max="12" width="14.7109375" style="39" customWidth="1"/>
    <col min="13" max="13" width="13.42578125" style="39" bestFit="1" customWidth="1"/>
    <col min="14" max="14" width="14.42578125" style="39" customWidth="1"/>
    <col min="15" max="15" width="26.85546875" style="145" customWidth="1"/>
    <col min="16" max="16" width="15.7109375" style="39" customWidth="1"/>
    <col min="17" max="17" width="9.85546875" style="39" bestFit="1" customWidth="1"/>
    <col min="18" max="18" width="13.140625" style="39" bestFit="1" customWidth="1"/>
    <col min="19" max="19" width="1.7109375" style="39" bestFit="1" customWidth="1"/>
    <col min="20" max="20" width="10.28515625" style="39" bestFit="1" customWidth="1"/>
    <col min="21" max="21" width="29" style="39" customWidth="1"/>
    <col min="22" max="22" width="8.42578125" style="39" bestFit="1" customWidth="1"/>
    <col min="23" max="23" width="15" style="39" customWidth="1"/>
    <col min="24" max="24" width="13.140625" style="39" bestFit="1" customWidth="1"/>
    <col min="25" max="25" width="4" style="39" customWidth="1"/>
    <col min="26" max="26" width="76.28515625" style="146" customWidth="1"/>
    <col min="27" max="27" width="5.7109375" style="39" customWidth="1"/>
    <col min="28" max="37" width="19.7109375" style="39" customWidth="1"/>
    <col min="38" max="16384" width="9" style="39"/>
  </cols>
  <sheetData>
    <row r="1" spans="1:34">
      <c r="A1" s="135"/>
      <c r="B1" s="135"/>
      <c r="C1" s="135"/>
      <c r="D1" s="135"/>
      <c r="E1" s="135"/>
      <c r="F1" s="135"/>
      <c r="G1" s="135"/>
      <c r="H1" s="135"/>
      <c r="I1" s="135"/>
      <c r="J1" s="135"/>
      <c r="K1" s="135"/>
      <c r="L1" s="135"/>
      <c r="M1" s="135"/>
      <c r="N1" s="135"/>
      <c r="O1" s="135"/>
      <c r="P1" s="135"/>
      <c r="Q1" s="135"/>
      <c r="R1" s="135"/>
      <c r="S1" s="135"/>
      <c r="T1" s="135"/>
      <c r="U1" s="135"/>
      <c r="V1" s="135"/>
      <c r="W1" s="135"/>
      <c r="X1" s="135"/>
      <c r="Y1" s="135"/>
      <c r="Z1" s="135"/>
      <c r="AA1" s="135"/>
    </row>
    <row r="2" spans="1:34">
      <c r="A2" s="135"/>
      <c r="B2" s="135"/>
      <c r="C2" s="135"/>
      <c r="D2" s="135"/>
      <c r="E2" s="135"/>
      <c r="F2" s="135"/>
      <c r="G2" s="135"/>
      <c r="H2" s="135"/>
      <c r="I2" s="135"/>
      <c r="J2" s="135"/>
      <c r="K2" s="135"/>
      <c r="L2" s="135"/>
      <c r="M2" s="135"/>
      <c r="N2" s="135"/>
      <c r="O2" s="135"/>
      <c r="P2" s="135"/>
      <c r="Q2" s="135"/>
      <c r="R2" s="135"/>
      <c r="S2" s="135"/>
      <c r="T2" s="135"/>
      <c r="U2" s="135"/>
      <c r="V2" s="135"/>
      <c r="W2" s="135"/>
      <c r="X2" s="135"/>
      <c r="Y2" s="135"/>
      <c r="Z2" s="135"/>
      <c r="AA2" s="135"/>
    </row>
    <row r="3" spans="1:34">
      <c r="A3" s="135"/>
      <c r="B3" s="135"/>
      <c r="C3" s="135"/>
      <c r="D3" s="135"/>
      <c r="E3" s="135"/>
      <c r="F3" s="135"/>
      <c r="G3" s="135"/>
      <c r="H3" s="135"/>
      <c r="I3" s="135"/>
      <c r="J3" s="135"/>
      <c r="K3" s="135"/>
      <c r="L3" s="135"/>
      <c r="M3" s="135"/>
      <c r="N3" s="135"/>
      <c r="O3" s="135"/>
      <c r="P3" s="135"/>
      <c r="Q3" s="135"/>
      <c r="R3" s="135"/>
      <c r="S3" s="135"/>
      <c r="T3" s="135"/>
      <c r="U3" s="135"/>
      <c r="V3" s="126"/>
      <c r="W3" s="126"/>
      <c r="X3" s="126"/>
      <c r="Y3" s="126"/>
      <c r="Z3" s="126"/>
      <c r="AA3" s="135"/>
    </row>
    <row r="4" spans="1:34" ht="15.75">
      <c r="A4" s="135"/>
      <c r="B4" s="135"/>
      <c r="C4" s="135"/>
      <c r="D4" s="135"/>
      <c r="E4" s="135"/>
      <c r="F4" s="135"/>
      <c r="G4" s="135"/>
      <c r="H4" s="135"/>
      <c r="I4" s="135"/>
      <c r="J4" s="135"/>
      <c r="K4" s="135"/>
      <c r="L4" s="135"/>
      <c r="M4" s="135"/>
      <c r="N4" s="135"/>
      <c r="O4" s="135"/>
      <c r="P4" s="135"/>
      <c r="Q4" s="135"/>
      <c r="R4" s="135"/>
      <c r="S4" s="135"/>
      <c r="T4" s="135"/>
      <c r="U4" s="136"/>
      <c r="V4" s="863" t="s">
        <v>6</v>
      </c>
      <c r="W4" s="864"/>
      <c r="X4" s="760" t="str">
        <f>Cover!$F$18</f>
        <v>ELM-803-FS-0001</v>
      </c>
      <c r="Y4" s="760"/>
      <c r="Z4" s="761"/>
      <c r="AA4" s="135"/>
    </row>
    <row r="5" spans="1:34" ht="15.75">
      <c r="A5" s="135"/>
      <c r="B5" s="135"/>
      <c r="C5" s="135"/>
      <c r="D5" s="135"/>
      <c r="E5" s="135"/>
      <c r="F5" s="135"/>
      <c r="G5" s="135"/>
      <c r="H5" s="135"/>
      <c r="I5" s="135"/>
      <c r="J5" s="135"/>
      <c r="K5" s="135"/>
      <c r="L5" s="135"/>
      <c r="M5" s="135"/>
      <c r="N5" s="135"/>
      <c r="O5" s="135"/>
      <c r="P5" s="135"/>
      <c r="Q5" s="135"/>
      <c r="R5" s="135"/>
      <c r="S5" s="135"/>
      <c r="T5" s="135"/>
      <c r="U5" s="136"/>
      <c r="V5" s="865" t="s">
        <v>7</v>
      </c>
      <c r="W5" s="819"/>
      <c r="X5" s="762" t="str">
        <f>Cover!$F$19</f>
        <v>Safety Manager</v>
      </c>
      <c r="Y5" s="762"/>
      <c r="Z5" s="40" t="str">
        <f>Cover!$G$19</f>
        <v>I. Kök</v>
      </c>
      <c r="AA5" s="135"/>
    </row>
    <row r="6" spans="1:34" ht="15.75">
      <c r="A6" s="135"/>
      <c r="B6" s="135"/>
      <c r="C6" s="135"/>
      <c r="D6" s="135"/>
      <c r="E6" s="135"/>
      <c r="F6" s="135"/>
      <c r="G6" s="135"/>
      <c r="H6" s="135"/>
      <c r="I6" s="135"/>
      <c r="J6" s="135"/>
      <c r="K6" s="135"/>
      <c r="L6" s="135"/>
      <c r="M6" s="135"/>
      <c r="N6" s="135"/>
      <c r="O6" s="135"/>
      <c r="P6" s="135"/>
      <c r="Q6" s="135"/>
      <c r="R6" s="135"/>
      <c r="S6" s="135"/>
      <c r="T6" s="135"/>
      <c r="U6" s="136"/>
      <c r="V6" s="865" t="s">
        <v>8</v>
      </c>
      <c r="W6" s="819"/>
      <c r="X6" s="762" t="str">
        <f>Cover!$F$20</f>
        <v>B2</v>
      </c>
      <c r="Y6" s="762"/>
      <c r="Z6" s="763"/>
      <c r="AA6" s="135"/>
    </row>
    <row r="7" spans="1:34" ht="15.75">
      <c r="A7" s="135"/>
      <c r="B7" s="135"/>
      <c r="C7" s="135"/>
      <c r="D7" s="135"/>
      <c r="E7" s="135"/>
      <c r="F7" s="135"/>
      <c r="G7" s="135"/>
      <c r="H7" s="135"/>
      <c r="I7" s="135"/>
      <c r="J7" s="135"/>
      <c r="K7" s="135"/>
      <c r="L7" s="135"/>
      <c r="M7" s="135"/>
      <c r="N7" s="135"/>
      <c r="O7" s="135"/>
      <c r="P7" s="135"/>
      <c r="Q7" s="135"/>
      <c r="R7" s="135"/>
      <c r="S7" s="135"/>
      <c r="T7" s="135"/>
      <c r="U7" s="136"/>
      <c r="V7" s="866" t="s">
        <v>9</v>
      </c>
      <c r="W7" s="867"/>
      <c r="X7" s="764" t="str">
        <f>Cover!$F$21</f>
        <v>approved after review</v>
      </c>
      <c r="Y7" s="764"/>
      <c r="Z7" s="765"/>
      <c r="AA7" s="135"/>
    </row>
    <row r="8" spans="1:34">
      <c r="A8" s="135"/>
      <c r="B8" s="135"/>
      <c r="C8" s="135"/>
      <c r="D8" s="135"/>
      <c r="E8" s="135"/>
      <c r="F8" s="135"/>
      <c r="G8" s="135"/>
      <c r="H8" s="135"/>
      <c r="I8" s="135"/>
      <c r="J8" s="135"/>
      <c r="K8" s="135"/>
      <c r="L8" s="135"/>
      <c r="M8" s="135"/>
      <c r="N8" s="135"/>
      <c r="O8" s="135"/>
      <c r="P8" s="135"/>
      <c r="Q8" s="135"/>
      <c r="R8" s="135"/>
      <c r="S8" s="135"/>
      <c r="T8" s="135"/>
      <c r="U8" s="135"/>
      <c r="V8" s="137"/>
      <c r="W8" s="137"/>
      <c r="X8" s="137"/>
      <c r="Y8" s="137"/>
      <c r="Z8" s="137"/>
      <c r="AA8" s="135"/>
    </row>
    <row r="9" spans="1:34" s="138" customFormat="1" ht="46.5">
      <c r="A9" s="933" t="s">
        <v>22</v>
      </c>
      <c r="B9" s="933"/>
      <c r="C9" s="933"/>
      <c r="D9" s="933"/>
      <c r="E9" s="933"/>
      <c r="F9" s="933"/>
      <c r="G9" s="933"/>
      <c r="H9" s="933"/>
      <c r="I9" s="933"/>
      <c r="J9" s="933"/>
      <c r="K9" s="933"/>
      <c r="L9" s="933"/>
      <c r="M9" s="933"/>
      <c r="N9" s="933"/>
      <c r="O9" s="933"/>
      <c r="P9" s="933"/>
      <c r="Q9" s="933"/>
      <c r="R9" s="933"/>
      <c r="S9" s="933"/>
      <c r="T9" s="933"/>
      <c r="U9" s="933"/>
      <c r="V9" s="933"/>
      <c r="W9" s="933"/>
      <c r="X9" s="933"/>
      <c r="Y9" s="933"/>
      <c r="Z9" s="933"/>
      <c r="AA9" s="933"/>
      <c r="AB9" s="124"/>
      <c r="AC9" s="124"/>
      <c r="AD9" s="124"/>
      <c r="AE9" s="124"/>
      <c r="AF9" s="124"/>
      <c r="AG9" s="124"/>
      <c r="AH9" s="124"/>
    </row>
    <row r="10" spans="1:34">
      <c r="A10" s="126"/>
      <c r="B10" s="126"/>
      <c r="C10" s="126"/>
      <c r="D10" s="126"/>
      <c r="E10" s="126"/>
      <c r="F10" s="126"/>
      <c r="G10" s="126"/>
      <c r="H10" s="126"/>
      <c r="I10" s="126"/>
      <c r="J10" s="126"/>
      <c r="K10" s="126"/>
      <c r="L10" s="126"/>
      <c r="M10" s="126"/>
      <c r="N10" s="126"/>
      <c r="O10" s="126"/>
      <c r="P10" s="126"/>
      <c r="Q10" s="126"/>
      <c r="R10" s="126"/>
      <c r="S10" s="126"/>
      <c r="T10" s="126"/>
      <c r="U10" s="126"/>
      <c r="V10" s="126"/>
      <c r="W10" s="126"/>
      <c r="X10" s="126"/>
      <c r="Y10" s="126"/>
      <c r="Z10" s="126"/>
      <c r="AA10" s="127"/>
      <c r="AB10" s="139"/>
      <c r="AC10" s="139"/>
      <c r="AD10" s="139"/>
      <c r="AE10" s="139"/>
      <c r="AF10" s="139"/>
      <c r="AG10" s="139"/>
      <c r="AH10" s="139"/>
    </row>
    <row r="11" spans="1:34" s="138" customFormat="1" ht="36">
      <c r="A11" s="921" t="str">
        <f>Cover!A9</f>
        <v>ID803 - Vega</v>
      </c>
      <c r="B11" s="922"/>
      <c r="C11" s="922"/>
      <c r="D11" s="922"/>
      <c r="E11" s="922"/>
      <c r="F11" s="922"/>
      <c r="G11" s="922"/>
      <c r="H11" s="922"/>
      <c r="I11" s="922"/>
      <c r="J11" s="922"/>
      <c r="K11" s="922"/>
      <c r="L11" s="922"/>
      <c r="M11" s="922"/>
      <c r="N11" s="922"/>
      <c r="O11" s="922"/>
      <c r="P11" s="922"/>
      <c r="Q11" s="922"/>
      <c r="R11" s="922"/>
      <c r="S11" s="922"/>
      <c r="T11" s="922"/>
      <c r="U11" s="922"/>
      <c r="V11" s="922"/>
      <c r="W11" s="922"/>
      <c r="X11" s="922"/>
      <c r="Y11" s="922"/>
      <c r="Z11" s="922"/>
      <c r="AA11" s="922"/>
      <c r="AB11" s="129"/>
      <c r="AC11" s="129"/>
      <c r="AD11" s="129"/>
      <c r="AE11" s="129"/>
      <c r="AF11" s="129"/>
      <c r="AG11" s="129"/>
      <c r="AH11" s="129"/>
    </row>
    <row r="12" spans="1:34">
      <c r="A12" s="135"/>
      <c r="B12" s="135"/>
      <c r="C12" s="135" t="s">
        <v>1065</v>
      </c>
      <c r="D12" s="135"/>
      <c r="E12" s="135"/>
      <c r="F12" s="135"/>
      <c r="G12" s="135"/>
      <c r="H12" s="135"/>
      <c r="I12" s="135"/>
      <c r="J12" s="135"/>
      <c r="K12" s="135"/>
      <c r="L12" s="135"/>
      <c r="M12" s="135"/>
      <c r="N12" s="135"/>
      <c r="O12" s="135"/>
      <c r="P12" s="135"/>
      <c r="Q12" s="135"/>
      <c r="R12" s="135"/>
      <c r="S12" s="135"/>
      <c r="T12" s="135"/>
      <c r="U12" s="135"/>
      <c r="V12" s="135"/>
      <c r="W12" s="135"/>
      <c r="X12" s="135"/>
      <c r="Y12" s="135"/>
      <c r="Z12" s="135"/>
      <c r="AA12" s="135"/>
    </row>
    <row r="13" spans="1:34">
      <c r="A13" s="135"/>
      <c r="B13" s="135"/>
      <c r="C13" s="135"/>
      <c r="D13" s="135"/>
      <c r="E13" s="135"/>
      <c r="F13" s="135"/>
      <c r="G13" s="126"/>
      <c r="H13" s="126"/>
      <c r="I13" s="135"/>
      <c r="J13" s="135"/>
      <c r="K13" s="135"/>
      <c r="L13" s="135"/>
      <c r="M13" s="135"/>
      <c r="N13" s="135"/>
      <c r="O13" s="135"/>
      <c r="P13" s="135"/>
      <c r="Q13" s="135"/>
      <c r="R13" s="135"/>
      <c r="S13" s="135"/>
      <c r="T13" s="135"/>
      <c r="U13" s="135"/>
      <c r="V13" s="135"/>
      <c r="W13" s="135"/>
      <c r="X13" s="135"/>
      <c r="Y13" s="135"/>
      <c r="Z13" s="135"/>
      <c r="AA13" s="135"/>
    </row>
    <row r="14" spans="1:34">
      <c r="A14" s="135"/>
      <c r="B14" s="126"/>
      <c r="C14" s="126"/>
      <c r="D14" s="126"/>
      <c r="E14" s="126"/>
      <c r="F14" s="136"/>
      <c r="G14" s="131" t="s">
        <v>137</v>
      </c>
      <c r="H14" s="140">
        <f>SUM(M22:M69)</f>
        <v>2.4414577193997591</v>
      </c>
      <c r="I14" s="141"/>
      <c r="J14" s="135"/>
      <c r="K14" s="135"/>
      <c r="L14" s="135"/>
      <c r="M14" s="135"/>
      <c r="N14" s="135"/>
      <c r="O14" s="135"/>
      <c r="P14" s="135"/>
      <c r="Q14" s="135"/>
      <c r="R14" s="135"/>
      <c r="S14" s="135"/>
      <c r="T14" s="135"/>
      <c r="U14" s="135"/>
      <c r="V14" s="135"/>
      <c r="W14" s="135"/>
      <c r="X14" s="135"/>
      <c r="Y14" s="135"/>
      <c r="Z14" s="135"/>
      <c r="AA14" s="135"/>
    </row>
    <row r="15" spans="1:34">
      <c r="A15" s="136"/>
      <c r="B15" s="939" t="s">
        <v>520</v>
      </c>
      <c r="C15" s="939"/>
      <c r="D15" s="939"/>
      <c r="E15" s="131">
        <f>'Core Block FIT rate'!G22/3</f>
        <v>2.4414577193997604</v>
      </c>
      <c r="F15" s="142"/>
      <c r="G15" s="131" t="s">
        <v>138</v>
      </c>
      <c r="H15" s="140">
        <f>SUM(R22:R69)</f>
        <v>6.6631450258618441E-2</v>
      </c>
      <c r="I15" s="141"/>
      <c r="J15" s="135"/>
      <c r="K15" s="135"/>
      <c r="L15" s="135"/>
      <c r="M15" s="135"/>
      <c r="N15" s="135"/>
      <c r="O15" s="135"/>
      <c r="P15" s="135"/>
      <c r="Q15" s="135"/>
      <c r="R15" s="135"/>
      <c r="S15" s="135"/>
      <c r="T15" s="135"/>
      <c r="U15" s="135"/>
      <c r="V15" s="135"/>
      <c r="W15" s="135"/>
      <c r="X15" s="135"/>
      <c r="Y15" s="135"/>
      <c r="Z15" s="135"/>
      <c r="AA15" s="135"/>
    </row>
    <row r="16" spans="1:34">
      <c r="A16" s="136"/>
      <c r="B16" s="939" t="s">
        <v>646</v>
      </c>
      <c r="C16" s="939"/>
      <c r="D16" s="939"/>
      <c r="E16" s="131">
        <v>48</v>
      </c>
      <c r="F16" s="142"/>
      <c r="G16" s="131" t="s">
        <v>139</v>
      </c>
      <c r="H16" s="140">
        <f>SUM(X22:X69)</f>
        <v>0.25238569174295017</v>
      </c>
      <c r="I16" s="141"/>
      <c r="J16" s="135"/>
      <c r="K16" s="135"/>
      <c r="L16" s="135"/>
      <c r="M16" s="135"/>
      <c r="N16" s="135"/>
      <c r="O16" s="135"/>
      <c r="P16" s="135"/>
      <c r="Q16" s="135"/>
      <c r="R16" s="135"/>
      <c r="S16" s="135"/>
      <c r="T16" s="135"/>
      <c r="U16" s="135"/>
      <c r="V16" s="135"/>
      <c r="W16" s="135"/>
      <c r="X16" s="135"/>
      <c r="Y16" s="135"/>
      <c r="Z16" s="135"/>
      <c r="AA16" s="135"/>
    </row>
    <row r="17" spans="1:27">
      <c r="A17" s="135"/>
      <c r="B17" s="137"/>
      <c r="C17" s="137"/>
      <c r="D17" s="137"/>
      <c r="E17" s="137"/>
      <c r="F17" s="135"/>
      <c r="G17" s="137"/>
      <c r="H17" s="137"/>
      <c r="I17" s="135"/>
      <c r="J17" s="135"/>
      <c r="K17" s="135"/>
      <c r="L17" s="135"/>
      <c r="M17" s="135"/>
      <c r="N17" s="135"/>
      <c r="O17" s="135"/>
      <c r="P17" s="135"/>
      <c r="Q17" s="135"/>
      <c r="R17" s="135"/>
      <c r="S17" s="135"/>
      <c r="T17" s="135"/>
      <c r="U17" s="135"/>
      <c r="V17" s="135"/>
      <c r="W17" s="135"/>
      <c r="X17" s="135"/>
      <c r="Y17" s="135"/>
      <c r="Z17" s="135"/>
      <c r="AA17" s="135"/>
    </row>
    <row r="18" spans="1:27">
      <c r="A18" s="135"/>
      <c r="B18" s="135"/>
      <c r="C18" s="135"/>
      <c r="D18" s="135"/>
      <c r="E18" s="135"/>
      <c r="F18" s="135"/>
      <c r="G18" s="135"/>
      <c r="H18" s="135"/>
      <c r="I18" s="135"/>
      <c r="J18" s="135"/>
      <c r="K18" s="935" t="s">
        <v>140</v>
      </c>
      <c r="L18" s="935"/>
      <c r="M18" s="935"/>
      <c r="N18" s="935"/>
      <c r="O18" s="935"/>
      <c r="P18" s="935"/>
      <c r="Q18" s="935"/>
      <c r="R18" s="935"/>
      <c r="S18" s="935"/>
      <c r="T18" s="935"/>
      <c r="U18" s="935"/>
      <c r="V18" s="935"/>
      <c r="W18" s="935"/>
      <c r="X18" s="935"/>
      <c r="Y18" s="135"/>
      <c r="Z18" s="135"/>
      <c r="AA18" s="135"/>
    </row>
    <row r="19" spans="1:27" ht="15.75" thickBot="1">
      <c r="A19" s="135"/>
      <c r="C19" s="936" t="s">
        <v>141</v>
      </c>
      <c r="D19" s="936"/>
      <c r="E19" s="126"/>
      <c r="F19" s="126"/>
      <c r="G19" s="126"/>
      <c r="H19" s="126"/>
      <c r="I19" s="126"/>
      <c r="J19" s="135"/>
      <c r="K19" s="937" t="s">
        <v>142</v>
      </c>
      <c r="L19" s="938"/>
      <c r="M19" s="938"/>
      <c r="N19" s="938"/>
      <c r="O19" s="938"/>
      <c r="P19" s="938"/>
      <c r="Q19" s="938"/>
      <c r="R19" s="938"/>
      <c r="S19" s="135"/>
      <c r="T19" s="937" t="s">
        <v>143</v>
      </c>
      <c r="U19" s="937"/>
      <c r="V19" s="937"/>
      <c r="W19" s="937"/>
      <c r="X19" s="937"/>
      <c r="Y19" s="135"/>
      <c r="Z19" s="135"/>
      <c r="AA19" s="135"/>
    </row>
    <row r="20" spans="1:27" ht="75.75" thickBot="1">
      <c r="A20" s="136"/>
      <c r="B20" s="463" t="s">
        <v>619</v>
      </c>
      <c r="C20" s="464" t="s">
        <v>144</v>
      </c>
      <c r="D20" s="464" t="s">
        <v>547</v>
      </c>
      <c r="E20" s="464" t="s">
        <v>548</v>
      </c>
      <c r="F20" s="464" t="s">
        <v>549</v>
      </c>
      <c r="G20" s="464" t="s">
        <v>629</v>
      </c>
      <c r="H20" s="464" t="s">
        <v>535</v>
      </c>
      <c r="I20" s="465" t="s">
        <v>576</v>
      </c>
      <c r="J20" s="142"/>
      <c r="K20" s="449" t="s">
        <v>550</v>
      </c>
      <c r="L20" s="450" t="s">
        <v>551</v>
      </c>
      <c r="M20" s="451" t="s">
        <v>552</v>
      </c>
      <c r="N20" s="450" t="s">
        <v>553</v>
      </c>
      <c r="O20" s="450" t="s">
        <v>554</v>
      </c>
      <c r="P20" s="450" t="s">
        <v>555</v>
      </c>
      <c r="Q20" s="450" t="s">
        <v>1072</v>
      </c>
      <c r="R20" s="466" t="s">
        <v>1073</v>
      </c>
      <c r="S20" s="142" t="s">
        <v>68</v>
      </c>
      <c r="T20" s="467" t="s">
        <v>556</v>
      </c>
      <c r="U20" s="451" t="s">
        <v>554</v>
      </c>
      <c r="V20" s="451" t="s">
        <v>555</v>
      </c>
      <c r="W20" s="451" t="s">
        <v>1074</v>
      </c>
      <c r="X20" s="452" t="s">
        <v>557</v>
      </c>
      <c r="Y20" s="141"/>
      <c r="Z20" s="934" t="s">
        <v>558</v>
      </c>
      <c r="AA20" s="135"/>
    </row>
    <row r="21" spans="1:27" s="143" customFormat="1" ht="168.75" thickBot="1">
      <c r="A21" s="136"/>
      <c r="B21" s="468" t="s">
        <v>145</v>
      </c>
      <c r="C21" s="469" t="s">
        <v>146</v>
      </c>
      <c r="D21" s="469" t="s">
        <v>644</v>
      </c>
      <c r="E21" s="469" t="s">
        <v>147</v>
      </c>
      <c r="F21" s="469" t="s">
        <v>633</v>
      </c>
      <c r="G21" s="469" t="s">
        <v>148</v>
      </c>
      <c r="H21" s="469" t="s">
        <v>149</v>
      </c>
      <c r="I21" s="480" t="s">
        <v>1175</v>
      </c>
      <c r="J21" s="453"/>
      <c r="K21" s="470" t="s">
        <v>5</v>
      </c>
      <c r="L21" s="471" t="s">
        <v>0</v>
      </c>
      <c r="M21" s="472" t="s">
        <v>634</v>
      </c>
      <c r="N21" s="471" t="s">
        <v>643</v>
      </c>
      <c r="O21" s="471" t="s">
        <v>150</v>
      </c>
      <c r="P21" s="471" t="s">
        <v>151</v>
      </c>
      <c r="Q21" s="471" t="s">
        <v>152</v>
      </c>
      <c r="R21" s="473" t="s">
        <v>635</v>
      </c>
      <c r="S21" s="453"/>
      <c r="T21" s="474" t="s">
        <v>153</v>
      </c>
      <c r="U21" s="472" t="s">
        <v>154</v>
      </c>
      <c r="V21" s="472" t="s">
        <v>155</v>
      </c>
      <c r="W21" s="472" t="s">
        <v>3</v>
      </c>
      <c r="X21" s="475" t="s">
        <v>636</v>
      </c>
      <c r="Y21" s="141"/>
      <c r="Z21" s="934"/>
      <c r="AA21" s="135"/>
    </row>
    <row r="22" spans="1:27" ht="15.75">
      <c r="A22" s="136"/>
      <c r="B22" s="654" t="s">
        <v>156</v>
      </c>
      <c r="C22" s="655">
        <v>1</v>
      </c>
      <c r="D22" s="655" t="s">
        <v>890</v>
      </c>
      <c r="E22" s="655"/>
      <c r="F22" s="655">
        <f t="shared" ref="F22:F69" si="0">$E$15/$E$16</f>
        <v>5.0863702487495006E-2</v>
      </c>
      <c r="G22" s="655" t="s">
        <v>1351</v>
      </c>
      <c r="H22" s="655" t="s">
        <v>1327</v>
      </c>
      <c r="I22" s="656" t="s">
        <v>884</v>
      </c>
      <c r="J22" s="142"/>
      <c r="K22" s="657">
        <v>1</v>
      </c>
      <c r="L22" s="658" t="s">
        <v>1035</v>
      </c>
      <c r="M22" s="659">
        <f t="shared" ref="M22:M42" si="1">F22*K22</f>
        <v>5.0863702487495006E-2</v>
      </c>
      <c r="N22" s="658">
        <f>IF(L22="N",100%,0%)</f>
        <v>0</v>
      </c>
      <c r="O22" s="658" t="s">
        <v>1359</v>
      </c>
      <c r="P22" s="658"/>
      <c r="Q22" s="658">
        <v>0.99</v>
      </c>
      <c r="R22" s="660">
        <f>IF(L22="N",0,M22*(1-N22)*(1-Q22))</f>
        <v>5.0863702487495056E-4</v>
      </c>
      <c r="S22" s="142"/>
      <c r="T22" s="661" t="s">
        <v>1035</v>
      </c>
      <c r="U22" s="658" t="str">
        <f>O22</f>
        <v>SM04 SM17</v>
      </c>
      <c r="V22" s="659"/>
      <c r="W22" s="658">
        <v>0.8</v>
      </c>
      <c r="X22" s="660">
        <f t="shared" ref="X22:X66" si="2">IF(T22="N",0,(M22*(1-N22)-R22)*(1-W22))</f>
        <v>1.0071013092524009E-2</v>
      </c>
      <c r="Y22" s="141"/>
      <c r="Z22" s="165"/>
      <c r="AA22" s="135"/>
    </row>
    <row r="23" spans="1:27" ht="15.75">
      <c r="A23" s="136"/>
      <c r="B23" s="662" t="s">
        <v>157</v>
      </c>
      <c r="C23" s="663">
        <v>2</v>
      </c>
      <c r="D23" s="663" t="s">
        <v>891</v>
      </c>
      <c r="E23" s="663"/>
      <c r="F23" s="663">
        <f>$E$15/$E$16</f>
        <v>5.0863702487495006E-2</v>
      </c>
      <c r="G23" s="663" t="s">
        <v>1351</v>
      </c>
      <c r="H23" s="663" t="s">
        <v>1327</v>
      </c>
      <c r="I23" s="664" t="s">
        <v>884</v>
      </c>
      <c r="J23" s="142"/>
      <c r="K23" s="665">
        <v>1</v>
      </c>
      <c r="L23" s="666" t="s">
        <v>1035</v>
      </c>
      <c r="M23" s="667">
        <f t="shared" si="1"/>
        <v>5.0863702487495006E-2</v>
      </c>
      <c r="N23" s="666">
        <f t="shared" ref="N23:N64" si="3">IF(L23="N",100%,0%)</f>
        <v>0</v>
      </c>
      <c r="O23" s="666" t="s">
        <v>1359</v>
      </c>
      <c r="P23" s="666"/>
      <c r="Q23" s="666">
        <v>0.99</v>
      </c>
      <c r="R23" s="668">
        <f t="shared" ref="R23:R64" si="4">IF(L23="N",0,M23*(1-N23)*(1-Q23))</f>
        <v>5.0863702487495056E-4</v>
      </c>
      <c r="S23" s="142"/>
      <c r="T23" s="669" t="s">
        <v>1035</v>
      </c>
      <c r="U23" s="666" t="str">
        <f>O23</f>
        <v>SM04 SM17</v>
      </c>
      <c r="V23" s="667"/>
      <c r="W23" s="666">
        <v>0.8</v>
      </c>
      <c r="X23" s="668">
        <f t="shared" si="2"/>
        <v>1.0071013092524009E-2</v>
      </c>
      <c r="Y23" s="141"/>
      <c r="Z23" s="165"/>
      <c r="AA23" s="135"/>
    </row>
    <row r="24" spans="1:27" ht="15.75">
      <c r="A24" s="136"/>
      <c r="B24" s="662" t="s">
        <v>158</v>
      </c>
      <c r="C24" s="663">
        <v>3</v>
      </c>
      <c r="D24" s="663" t="s">
        <v>892</v>
      </c>
      <c r="E24" s="663"/>
      <c r="F24" s="663">
        <f t="shared" si="0"/>
        <v>5.0863702487495006E-2</v>
      </c>
      <c r="G24" s="663" t="s">
        <v>1351</v>
      </c>
      <c r="H24" s="663" t="s">
        <v>1327</v>
      </c>
      <c r="I24" s="664" t="s">
        <v>884</v>
      </c>
      <c r="J24" s="142"/>
      <c r="K24" s="665">
        <v>1</v>
      </c>
      <c r="L24" s="666" t="s">
        <v>1035</v>
      </c>
      <c r="M24" s="667">
        <f t="shared" si="1"/>
        <v>5.0863702487495006E-2</v>
      </c>
      <c r="N24" s="666">
        <f t="shared" si="3"/>
        <v>0</v>
      </c>
      <c r="O24" s="666" t="s">
        <v>1359</v>
      </c>
      <c r="P24" s="666"/>
      <c r="Q24" s="666">
        <v>0.99</v>
      </c>
      <c r="R24" s="668">
        <f t="shared" si="4"/>
        <v>5.0863702487495056E-4</v>
      </c>
      <c r="S24" s="142"/>
      <c r="T24" s="669" t="s">
        <v>1035</v>
      </c>
      <c r="U24" s="666" t="str">
        <f t="shared" ref="U24:U68" si="5">O24</f>
        <v>SM04 SM17</v>
      </c>
      <c r="V24" s="667"/>
      <c r="W24" s="666">
        <v>0.8</v>
      </c>
      <c r="X24" s="668">
        <f t="shared" si="2"/>
        <v>1.0071013092524009E-2</v>
      </c>
      <c r="Y24" s="141"/>
      <c r="Z24" s="165"/>
      <c r="AA24" s="135"/>
    </row>
    <row r="25" spans="1:27" ht="15.75">
      <c r="A25" s="136"/>
      <c r="B25" s="662" t="s">
        <v>159</v>
      </c>
      <c r="C25" s="663">
        <v>4</v>
      </c>
      <c r="D25" s="663" t="s">
        <v>893</v>
      </c>
      <c r="E25" s="663"/>
      <c r="F25" s="663">
        <f t="shared" si="0"/>
        <v>5.0863702487495006E-2</v>
      </c>
      <c r="G25" s="663" t="s">
        <v>1351</v>
      </c>
      <c r="H25" s="663" t="s">
        <v>1327</v>
      </c>
      <c r="I25" s="664" t="s">
        <v>884</v>
      </c>
      <c r="J25" s="142"/>
      <c r="K25" s="665">
        <v>1</v>
      </c>
      <c r="L25" s="666" t="s">
        <v>1035</v>
      </c>
      <c r="M25" s="667">
        <f t="shared" si="1"/>
        <v>5.0863702487495006E-2</v>
      </c>
      <c r="N25" s="666">
        <f t="shared" si="3"/>
        <v>0</v>
      </c>
      <c r="O25" s="666" t="s">
        <v>1359</v>
      </c>
      <c r="P25" s="666"/>
      <c r="Q25" s="666">
        <v>0.99</v>
      </c>
      <c r="R25" s="668">
        <f t="shared" si="4"/>
        <v>5.0863702487495056E-4</v>
      </c>
      <c r="S25" s="142"/>
      <c r="T25" s="669" t="s">
        <v>1035</v>
      </c>
      <c r="U25" s="666" t="str">
        <f t="shared" si="5"/>
        <v>SM04 SM17</v>
      </c>
      <c r="V25" s="667"/>
      <c r="W25" s="666">
        <v>0.8</v>
      </c>
      <c r="X25" s="668">
        <f t="shared" si="2"/>
        <v>1.0071013092524009E-2</v>
      </c>
      <c r="Y25" s="141"/>
      <c r="Z25" s="165"/>
      <c r="AA25" s="135"/>
    </row>
    <row r="26" spans="1:27" ht="15.75">
      <c r="A26" s="136"/>
      <c r="B26" s="662" t="s">
        <v>160</v>
      </c>
      <c r="C26" s="663">
        <v>5</v>
      </c>
      <c r="D26" s="663" t="s">
        <v>894</v>
      </c>
      <c r="E26" s="663"/>
      <c r="F26" s="663">
        <f t="shared" si="0"/>
        <v>5.0863702487495006E-2</v>
      </c>
      <c r="G26" s="670" t="s">
        <v>1171</v>
      </c>
      <c r="H26" s="663" t="s">
        <v>1242</v>
      </c>
      <c r="I26" s="664" t="s">
        <v>1037</v>
      </c>
      <c r="J26" s="142"/>
      <c r="K26" s="665">
        <v>1</v>
      </c>
      <c r="L26" s="671" t="s">
        <v>78</v>
      </c>
      <c r="M26" s="530">
        <f t="shared" ref="M26" si="6">F26*K26</f>
        <v>5.0863702487495006E-2</v>
      </c>
      <c r="N26" s="671">
        <f t="shared" ref="N26" si="7">IF(L26="N",100%,0%)</f>
        <v>1</v>
      </c>
      <c r="O26" s="672" t="s">
        <v>857</v>
      </c>
      <c r="P26" s="530"/>
      <c r="Q26" s="673"/>
      <c r="R26" s="674"/>
      <c r="S26" s="142"/>
      <c r="T26" s="675" t="str">
        <f t="shared" ref="T26" si="8">L26</f>
        <v>N</v>
      </c>
      <c r="U26" s="666" t="str">
        <f t="shared" si="5"/>
        <v/>
      </c>
      <c r="V26" s="530"/>
      <c r="W26" s="673"/>
      <c r="X26" s="668"/>
      <c r="Y26" s="141"/>
      <c r="Z26" s="165"/>
      <c r="AA26" s="135"/>
    </row>
    <row r="27" spans="1:27">
      <c r="A27" s="136"/>
      <c r="B27" s="662" t="s">
        <v>161</v>
      </c>
      <c r="C27" s="663">
        <v>6</v>
      </c>
      <c r="D27" s="663" t="s">
        <v>895</v>
      </c>
      <c r="E27" s="663"/>
      <c r="F27" s="663">
        <f t="shared" si="0"/>
        <v>5.0863702487495006E-2</v>
      </c>
      <c r="G27" s="663" t="s">
        <v>1171</v>
      </c>
      <c r="H27" s="663" t="s">
        <v>1242</v>
      </c>
      <c r="I27" s="664" t="s">
        <v>1037</v>
      </c>
      <c r="J27" s="142"/>
      <c r="K27" s="665">
        <v>1</v>
      </c>
      <c r="L27" s="666" t="s">
        <v>78</v>
      </c>
      <c r="M27" s="667">
        <f t="shared" si="1"/>
        <v>5.0863702487495006E-2</v>
      </c>
      <c r="N27" s="666">
        <f t="shared" si="3"/>
        <v>1</v>
      </c>
      <c r="O27" s="666"/>
      <c r="P27" s="666"/>
      <c r="Q27" s="666"/>
      <c r="R27" s="668"/>
      <c r="S27" s="142"/>
      <c r="T27" s="669" t="s">
        <v>78</v>
      </c>
      <c r="U27" s="666"/>
      <c r="V27" s="667"/>
      <c r="W27" s="666"/>
      <c r="X27" s="668"/>
      <c r="Y27" s="141"/>
      <c r="Z27" s="144"/>
      <c r="AA27" s="135"/>
    </row>
    <row r="28" spans="1:27" ht="15.75">
      <c r="A28" s="136"/>
      <c r="B28" s="662" t="s">
        <v>162</v>
      </c>
      <c r="C28" s="663">
        <v>7</v>
      </c>
      <c r="D28" s="663" t="s">
        <v>896</v>
      </c>
      <c r="E28" s="663"/>
      <c r="F28" s="663">
        <f t="shared" si="0"/>
        <v>5.0863702487495006E-2</v>
      </c>
      <c r="G28" s="670" t="s">
        <v>1173</v>
      </c>
      <c r="H28" s="663" t="s">
        <v>1288</v>
      </c>
      <c r="I28" s="677" t="s">
        <v>884</v>
      </c>
      <c r="J28" s="142"/>
      <c r="K28" s="665">
        <v>1</v>
      </c>
      <c r="L28" s="671" t="s">
        <v>1035</v>
      </c>
      <c r="M28" s="530">
        <f t="shared" si="1"/>
        <v>5.0863702487495006E-2</v>
      </c>
      <c r="N28" s="671">
        <f t="shared" si="3"/>
        <v>0</v>
      </c>
      <c r="O28" s="666" t="s">
        <v>1200</v>
      </c>
      <c r="P28" s="666"/>
      <c r="Q28" s="666">
        <v>0.99</v>
      </c>
      <c r="R28" s="668">
        <f t="shared" ref="R28" si="9">IF(L28="N",0,M28*(1-N28)*(1-Q28))</f>
        <v>5.0863702487495056E-4</v>
      </c>
      <c r="S28" s="142"/>
      <c r="T28" s="678" t="str">
        <f t="shared" ref="T28" si="10">L28</f>
        <v>Y</v>
      </c>
      <c r="U28" s="666" t="str">
        <f t="shared" si="5"/>
        <v>SM01 SM15 SM16 SM22</v>
      </c>
      <c r="V28" s="530"/>
      <c r="W28" s="666">
        <v>1</v>
      </c>
      <c r="X28" s="674">
        <f t="shared" ref="X28" si="11">IF(T28="N",0,(M28*(1-N28)-R28)*(1-W28))</f>
        <v>0</v>
      </c>
      <c r="Y28" s="141"/>
      <c r="Z28" s="507" t="s">
        <v>1206</v>
      </c>
      <c r="AA28" s="135"/>
    </row>
    <row r="29" spans="1:27" collapsed="1">
      <c r="A29" s="136"/>
      <c r="B29" s="662" t="s">
        <v>163</v>
      </c>
      <c r="C29" s="663">
        <v>8</v>
      </c>
      <c r="D29" s="663" t="s">
        <v>897</v>
      </c>
      <c r="E29" s="663"/>
      <c r="F29" s="663">
        <f t="shared" si="0"/>
        <v>5.0863702487495006E-2</v>
      </c>
      <c r="G29" s="670" t="s">
        <v>1210</v>
      </c>
      <c r="H29" s="663" t="s">
        <v>1400</v>
      </c>
      <c r="I29" s="677" t="s">
        <v>1037</v>
      </c>
      <c r="J29" s="142"/>
      <c r="K29" s="665">
        <v>1</v>
      </c>
      <c r="L29" s="671" t="s">
        <v>78</v>
      </c>
      <c r="M29" s="530">
        <f t="shared" si="1"/>
        <v>5.0863702487495006E-2</v>
      </c>
      <c r="N29" s="671">
        <f t="shared" si="3"/>
        <v>1</v>
      </c>
      <c r="O29" s="672" t="s">
        <v>857</v>
      </c>
      <c r="P29" s="530"/>
      <c r="Q29" s="673"/>
      <c r="R29" s="674"/>
      <c r="S29" s="142"/>
      <c r="T29" s="675" t="str">
        <f t="shared" ref="T29" si="12">L29</f>
        <v>N</v>
      </c>
      <c r="U29" s="666" t="str">
        <f t="shared" si="5"/>
        <v/>
      </c>
      <c r="V29" s="530"/>
      <c r="W29" s="673"/>
      <c r="X29" s="668"/>
      <c r="Y29" s="141"/>
      <c r="Z29" s="144"/>
      <c r="AA29" s="135"/>
    </row>
    <row r="30" spans="1:27">
      <c r="A30" s="136"/>
      <c r="B30" s="662" t="s">
        <v>164</v>
      </c>
      <c r="C30" s="663">
        <v>9</v>
      </c>
      <c r="D30" s="663" t="s">
        <v>898</v>
      </c>
      <c r="E30" s="663"/>
      <c r="F30" s="663">
        <f t="shared" si="0"/>
        <v>5.0863702487495006E-2</v>
      </c>
      <c r="G30" s="670" t="s">
        <v>1185</v>
      </c>
      <c r="H30" s="663" t="s">
        <v>1242</v>
      </c>
      <c r="I30" s="664" t="s">
        <v>1037</v>
      </c>
      <c r="J30" s="142"/>
      <c r="K30" s="665">
        <v>1</v>
      </c>
      <c r="L30" s="666" t="s">
        <v>78</v>
      </c>
      <c r="M30" s="667">
        <f t="shared" ref="M30" si="13">F30*K30</f>
        <v>5.0863702487495006E-2</v>
      </c>
      <c r="N30" s="666">
        <f t="shared" ref="N30" si="14">IF(L30="N",100%,0%)</f>
        <v>1</v>
      </c>
      <c r="O30" s="666"/>
      <c r="P30" s="666"/>
      <c r="Q30" s="666"/>
      <c r="R30" s="668"/>
      <c r="S30" s="142"/>
      <c r="T30" s="669" t="s">
        <v>78</v>
      </c>
      <c r="U30" s="666"/>
      <c r="V30" s="667"/>
      <c r="W30" s="666"/>
      <c r="X30" s="668"/>
      <c r="Y30" s="141"/>
      <c r="Z30" s="144"/>
      <c r="AA30" s="135"/>
    </row>
    <row r="31" spans="1:27">
      <c r="A31" s="136"/>
      <c r="B31" s="662" t="s">
        <v>165</v>
      </c>
      <c r="C31" s="663">
        <v>10</v>
      </c>
      <c r="D31" s="663" t="s">
        <v>899</v>
      </c>
      <c r="E31" s="663"/>
      <c r="F31" s="663">
        <f t="shared" si="0"/>
        <v>5.0863702487495006E-2</v>
      </c>
      <c r="G31" s="670" t="s">
        <v>1209</v>
      </c>
      <c r="H31" s="663" t="s">
        <v>1242</v>
      </c>
      <c r="I31" s="664" t="s">
        <v>1037</v>
      </c>
      <c r="J31" s="142"/>
      <c r="K31" s="665">
        <v>1</v>
      </c>
      <c r="L31" s="666" t="s">
        <v>78</v>
      </c>
      <c r="M31" s="667">
        <f t="shared" si="1"/>
        <v>5.0863702487495006E-2</v>
      </c>
      <c r="N31" s="666">
        <f t="shared" si="3"/>
        <v>1</v>
      </c>
      <c r="O31" s="666"/>
      <c r="P31" s="666"/>
      <c r="Q31" s="666"/>
      <c r="R31" s="668"/>
      <c r="S31" s="142"/>
      <c r="T31" s="669" t="s">
        <v>78</v>
      </c>
      <c r="U31" s="666"/>
      <c r="V31" s="667"/>
      <c r="W31" s="666"/>
      <c r="X31" s="668"/>
      <c r="Y31" s="141"/>
      <c r="Z31" s="144"/>
      <c r="AA31" s="135"/>
    </row>
    <row r="32" spans="1:27">
      <c r="A32" s="136"/>
      <c r="B32" s="662" t="s">
        <v>166</v>
      </c>
      <c r="C32" s="663">
        <v>11</v>
      </c>
      <c r="D32" s="663" t="s">
        <v>900</v>
      </c>
      <c r="E32" s="663"/>
      <c r="F32" s="663">
        <f t="shared" si="0"/>
        <v>5.0863702487495006E-2</v>
      </c>
      <c r="G32" s="670" t="s">
        <v>1185</v>
      </c>
      <c r="H32" s="663" t="s">
        <v>1242</v>
      </c>
      <c r="I32" s="664" t="s">
        <v>1037</v>
      </c>
      <c r="J32" s="142"/>
      <c r="K32" s="665">
        <v>1</v>
      </c>
      <c r="L32" s="666" t="s">
        <v>78</v>
      </c>
      <c r="M32" s="667">
        <f t="shared" si="1"/>
        <v>5.0863702487495006E-2</v>
      </c>
      <c r="N32" s="666">
        <f t="shared" si="3"/>
        <v>1</v>
      </c>
      <c r="O32" s="666"/>
      <c r="P32" s="666"/>
      <c r="Q32" s="666"/>
      <c r="R32" s="668"/>
      <c r="S32" s="142"/>
      <c r="T32" s="669" t="s">
        <v>78</v>
      </c>
      <c r="U32" s="666"/>
      <c r="V32" s="667"/>
      <c r="W32" s="666"/>
      <c r="X32" s="668"/>
      <c r="Y32" s="141"/>
      <c r="Z32" s="144"/>
      <c r="AA32" s="135"/>
    </row>
    <row r="33" spans="1:27">
      <c r="A33" s="136"/>
      <c r="B33" s="662" t="s">
        <v>167</v>
      </c>
      <c r="C33" s="663">
        <v>12</v>
      </c>
      <c r="D33" s="663" t="s">
        <v>901</v>
      </c>
      <c r="E33" s="663"/>
      <c r="F33" s="663">
        <f t="shared" si="0"/>
        <v>5.0863702487495006E-2</v>
      </c>
      <c r="G33" s="663" t="s">
        <v>1192</v>
      </c>
      <c r="H33" s="663" t="s">
        <v>1401</v>
      </c>
      <c r="I33" s="664" t="s">
        <v>884</v>
      </c>
      <c r="J33" s="142"/>
      <c r="K33" s="665">
        <v>1</v>
      </c>
      <c r="L33" s="671" t="s">
        <v>1035</v>
      </c>
      <c r="M33" s="530">
        <f t="shared" si="1"/>
        <v>5.0863702487495006E-2</v>
      </c>
      <c r="N33" s="671">
        <f t="shared" si="3"/>
        <v>0</v>
      </c>
      <c r="O33" s="666" t="s">
        <v>1187</v>
      </c>
      <c r="P33" s="530"/>
      <c r="Q33" s="673">
        <v>0.99</v>
      </c>
      <c r="R33" s="674">
        <f t="shared" ref="R33" si="15">IF(L33="N",0,M33*(1-N33)*(1-Q33))</f>
        <v>5.0863702487495056E-4</v>
      </c>
      <c r="S33" s="142"/>
      <c r="T33" s="675" t="str">
        <f t="shared" ref="T33" si="16">L33</f>
        <v>Y</v>
      </c>
      <c r="U33" s="666" t="str">
        <f t="shared" si="5"/>
        <v>SM09 SM10 SM13</v>
      </c>
      <c r="V33" s="530"/>
      <c r="W33" s="673">
        <v>1</v>
      </c>
      <c r="X33" s="668">
        <f t="shared" ref="X33:X35" si="17">IF(T33="N",0,(M33*(1-N33)-R33)*(1-W33))</f>
        <v>0</v>
      </c>
      <c r="Y33" s="141"/>
      <c r="Z33" s="132" t="s">
        <v>1189</v>
      </c>
      <c r="AA33" s="135"/>
    </row>
    <row r="34" spans="1:27">
      <c r="A34" s="136"/>
      <c r="B34" s="662" t="s">
        <v>168</v>
      </c>
      <c r="C34" s="663">
        <v>13</v>
      </c>
      <c r="D34" s="663" t="s">
        <v>902</v>
      </c>
      <c r="E34" s="663"/>
      <c r="F34" s="663">
        <f t="shared" si="0"/>
        <v>5.0863702487495006E-2</v>
      </c>
      <c r="G34" s="670" t="s">
        <v>1209</v>
      </c>
      <c r="H34" s="663" t="s">
        <v>1242</v>
      </c>
      <c r="I34" s="664" t="s">
        <v>1037</v>
      </c>
      <c r="J34" s="142"/>
      <c r="K34" s="665">
        <v>1</v>
      </c>
      <c r="L34" s="666" t="s">
        <v>78</v>
      </c>
      <c r="M34" s="667">
        <f t="shared" si="1"/>
        <v>5.0863702487495006E-2</v>
      </c>
      <c r="N34" s="666">
        <f t="shared" si="3"/>
        <v>1</v>
      </c>
      <c r="O34" s="666"/>
      <c r="P34" s="666"/>
      <c r="Q34" s="666"/>
      <c r="R34" s="668"/>
      <c r="S34" s="142"/>
      <c r="T34" s="669" t="s">
        <v>78</v>
      </c>
      <c r="U34" s="666"/>
      <c r="V34" s="667"/>
      <c r="W34" s="666"/>
      <c r="X34" s="668"/>
      <c r="Y34" s="141"/>
      <c r="Z34" s="144"/>
      <c r="AA34" s="135"/>
    </row>
    <row r="35" spans="1:27">
      <c r="A35" s="136"/>
      <c r="B35" s="662" t="s">
        <v>169</v>
      </c>
      <c r="C35" s="663">
        <v>14</v>
      </c>
      <c r="D35" s="663" t="s">
        <v>903</v>
      </c>
      <c r="E35" s="663"/>
      <c r="F35" s="663">
        <f t="shared" si="0"/>
        <v>5.0863702487495006E-2</v>
      </c>
      <c r="G35" s="663" t="s">
        <v>1398</v>
      </c>
      <c r="H35" s="663" t="s">
        <v>1287</v>
      </c>
      <c r="I35" s="664" t="s">
        <v>884</v>
      </c>
      <c r="J35" s="142"/>
      <c r="K35" s="665">
        <v>1</v>
      </c>
      <c r="L35" s="671" t="s">
        <v>1035</v>
      </c>
      <c r="M35" s="530">
        <f t="shared" si="1"/>
        <v>5.0863702487495006E-2</v>
      </c>
      <c r="N35" s="671">
        <f t="shared" si="3"/>
        <v>0</v>
      </c>
      <c r="O35" s="670" t="s">
        <v>1053</v>
      </c>
      <c r="P35" s="530"/>
      <c r="Q35" s="673">
        <v>0.6</v>
      </c>
      <c r="R35" s="674">
        <f t="shared" ref="R35:R36" si="18">IF(L35="N",0,M35*(1-N35)*(1-Q35))</f>
        <v>2.0345480994998003E-2</v>
      </c>
      <c r="S35" s="142"/>
      <c r="T35" s="675" t="str">
        <f t="shared" ref="T35:T37" si="19">L35</f>
        <v>Y</v>
      </c>
      <c r="U35" s="666"/>
      <c r="V35" s="530"/>
      <c r="W35" s="673">
        <v>0</v>
      </c>
      <c r="X35" s="668">
        <f t="shared" si="17"/>
        <v>3.0518221492497003E-2</v>
      </c>
      <c r="Y35" s="141"/>
      <c r="Z35" s="144"/>
      <c r="AA35" s="135"/>
    </row>
    <row r="36" spans="1:27">
      <c r="A36" s="136"/>
      <c r="B36" s="662" t="s">
        <v>170</v>
      </c>
      <c r="C36" s="663">
        <v>15</v>
      </c>
      <c r="D36" s="663" t="s">
        <v>904</v>
      </c>
      <c r="E36" s="663"/>
      <c r="F36" s="663">
        <f t="shared" si="0"/>
        <v>5.0863702487495006E-2</v>
      </c>
      <c r="G36" s="663" t="s">
        <v>1192</v>
      </c>
      <c r="H36" s="663" t="s">
        <v>1401</v>
      </c>
      <c r="I36" s="664" t="s">
        <v>884</v>
      </c>
      <c r="J36" s="142"/>
      <c r="K36" s="665">
        <v>1</v>
      </c>
      <c r="L36" s="671" t="s">
        <v>1035</v>
      </c>
      <c r="M36" s="530">
        <f t="shared" si="1"/>
        <v>5.0863702487495006E-2</v>
      </c>
      <c r="N36" s="671">
        <f t="shared" si="3"/>
        <v>0</v>
      </c>
      <c r="O36" s="666" t="s">
        <v>1187</v>
      </c>
      <c r="P36" s="530"/>
      <c r="Q36" s="673">
        <v>0.99</v>
      </c>
      <c r="R36" s="674">
        <f t="shared" si="18"/>
        <v>5.0863702487495056E-4</v>
      </c>
      <c r="S36" s="142"/>
      <c r="T36" s="675" t="str">
        <f t="shared" si="19"/>
        <v>Y</v>
      </c>
      <c r="U36" s="666" t="str">
        <f t="shared" si="5"/>
        <v>SM09 SM10 SM13</v>
      </c>
      <c r="V36" s="530"/>
      <c r="W36" s="673">
        <v>1</v>
      </c>
      <c r="X36" s="668">
        <f t="shared" ref="X36" si="20">IF(T36="N",0,(M36*(1-N36)-R36)*(1-W36))</f>
        <v>0</v>
      </c>
      <c r="Y36" s="141"/>
      <c r="Z36" s="132" t="s">
        <v>1189</v>
      </c>
      <c r="AA36" s="135"/>
    </row>
    <row r="37" spans="1:27" ht="15.75">
      <c r="A37" s="136"/>
      <c r="B37" s="662" t="s">
        <v>171</v>
      </c>
      <c r="C37" s="663">
        <v>16</v>
      </c>
      <c r="D37" s="663" t="s">
        <v>905</v>
      </c>
      <c r="E37" s="663"/>
      <c r="F37" s="663">
        <f t="shared" si="0"/>
        <v>5.0863702487495006E-2</v>
      </c>
      <c r="G37" s="670" t="s">
        <v>1184</v>
      </c>
      <c r="H37" s="663" t="s">
        <v>1242</v>
      </c>
      <c r="I37" s="677" t="s">
        <v>1037</v>
      </c>
      <c r="J37" s="142"/>
      <c r="K37" s="665">
        <v>1</v>
      </c>
      <c r="L37" s="671" t="s">
        <v>78</v>
      </c>
      <c r="M37" s="530">
        <f t="shared" si="1"/>
        <v>5.0863702487495006E-2</v>
      </c>
      <c r="N37" s="671">
        <f t="shared" si="3"/>
        <v>1</v>
      </c>
      <c r="O37" s="672" t="s">
        <v>857</v>
      </c>
      <c r="P37" s="530"/>
      <c r="Q37" s="673"/>
      <c r="R37" s="674"/>
      <c r="S37" s="142"/>
      <c r="T37" s="675" t="str">
        <f t="shared" si="19"/>
        <v>N</v>
      </c>
      <c r="U37" s="666" t="str">
        <f t="shared" si="5"/>
        <v/>
      </c>
      <c r="V37" s="530"/>
      <c r="W37" s="673"/>
      <c r="X37" s="668"/>
      <c r="Y37" s="141"/>
      <c r="Z37" s="165"/>
      <c r="AA37" s="135"/>
    </row>
    <row r="38" spans="1:27">
      <c r="A38" s="136"/>
      <c r="B38" s="662" t="s">
        <v>172</v>
      </c>
      <c r="C38" s="663">
        <v>17</v>
      </c>
      <c r="D38" s="663" t="s">
        <v>906</v>
      </c>
      <c r="E38" s="663"/>
      <c r="F38" s="663">
        <f t="shared" si="0"/>
        <v>5.0863702487495006E-2</v>
      </c>
      <c r="G38" s="663" t="s">
        <v>1192</v>
      </c>
      <c r="H38" s="663" t="s">
        <v>1401</v>
      </c>
      <c r="I38" s="664" t="s">
        <v>884</v>
      </c>
      <c r="J38" s="142"/>
      <c r="K38" s="665">
        <v>1</v>
      </c>
      <c r="L38" s="671" t="s">
        <v>1035</v>
      </c>
      <c r="M38" s="530">
        <f t="shared" si="1"/>
        <v>5.0863702487495006E-2</v>
      </c>
      <c r="N38" s="671">
        <f t="shared" si="3"/>
        <v>0</v>
      </c>
      <c r="O38" s="666" t="s">
        <v>1187</v>
      </c>
      <c r="P38" s="530"/>
      <c r="Q38" s="673">
        <v>0.99</v>
      </c>
      <c r="R38" s="674">
        <f t="shared" ref="R38:R41" si="21">IF(L38="N",0,M38*(1-N38)*(1-Q38))</f>
        <v>5.0863702487495056E-4</v>
      </c>
      <c r="S38" s="142"/>
      <c r="T38" s="675" t="str">
        <f t="shared" ref="T38:T42" si="22">L38</f>
        <v>Y</v>
      </c>
      <c r="U38" s="666" t="str">
        <f t="shared" si="5"/>
        <v>SM09 SM10 SM13</v>
      </c>
      <c r="V38" s="530"/>
      <c r="W38" s="673">
        <v>1</v>
      </c>
      <c r="X38" s="668">
        <f t="shared" ref="X38:X41" si="23">IF(T38="N",0,(M38*(1-N38)-R38)*(1-W38))</f>
        <v>0</v>
      </c>
      <c r="Y38" s="141"/>
      <c r="Z38" s="940" t="s">
        <v>1188</v>
      </c>
      <c r="AA38" s="135"/>
    </row>
    <row r="39" spans="1:27">
      <c r="A39" s="136"/>
      <c r="B39" s="662" t="s">
        <v>173</v>
      </c>
      <c r="C39" s="663">
        <v>18</v>
      </c>
      <c r="D39" s="663" t="s">
        <v>904</v>
      </c>
      <c r="E39" s="663"/>
      <c r="F39" s="663">
        <f t="shared" si="0"/>
        <v>5.0863702487495006E-2</v>
      </c>
      <c r="G39" s="663" t="s">
        <v>1192</v>
      </c>
      <c r="H39" s="663" t="s">
        <v>1401</v>
      </c>
      <c r="I39" s="664" t="s">
        <v>884</v>
      </c>
      <c r="J39" s="142"/>
      <c r="K39" s="665">
        <v>1</v>
      </c>
      <c r="L39" s="671" t="s">
        <v>1035</v>
      </c>
      <c r="M39" s="530">
        <f t="shared" si="1"/>
        <v>5.0863702487495006E-2</v>
      </c>
      <c r="N39" s="671">
        <f t="shared" si="3"/>
        <v>0</v>
      </c>
      <c r="O39" s="666" t="s">
        <v>1187</v>
      </c>
      <c r="P39" s="530"/>
      <c r="Q39" s="673">
        <v>0.99</v>
      </c>
      <c r="R39" s="674">
        <f t="shared" si="21"/>
        <v>5.0863702487495056E-4</v>
      </c>
      <c r="S39" s="142"/>
      <c r="T39" s="675" t="str">
        <f t="shared" si="22"/>
        <v>Y</v>
      </c>
      <c r="U39" s="666" t="str">
        <f t="shared" si="5"/>
        <v>SM09 SM10 SM13</v>
      </c>
      <c r="V39" s="530"/>
      <c r="W39" s="673">
        <v>1</v>
      </c>
      <c r="X39" s="668">
        <f t="shared" si="23"/>
        <v>0</v>
      </c>
      <c r="Y39" s="141"/>
      <c r="Z39" s="941"/>
      <c r="AA39" s="135"/>
    </row>
    <row r="40" spans="1:27">
      <c r="A40" s="136"/>
      <c r="B40" s="662" t="s">
        <v>174</v>
      </c>
      <c r="C40" s="663">
        <v>19</v>
      </c>
      <c r="D40" s="663" t="s">
        <v>907</v>
      </c>
      <c r="E40" s="663"/>
      <c r="F40" s="663">
        <f t="shared" si="0"/>
        <v>5.0863702487495006E-2</v>
      </c>
      <c r="G40" s="663" t="s">
        <v>1211</v>
      </c>
      <c r="H40" s="663" t="s">
        <v>1401</v>
      </c>
      <c r="I40" s="664" t="s">
        <v>884</v>
      </c>
      <c r="J40" s="142"/>
      <c r="K40" s="665">
        <v>1</v>
      </c>
      <c r="L40" s="671" t="s">
        <v>1035</v>
      </c>
      <c r="M40" s="530">
        <f t="shared" si="1"/>
        <v>5.0863702487495006E-2</v>
      </c>
      <c r="N40" s="671">
        <f t="shared" si="3"/>
        <v>0</v>
      </c>
      <c r="O40" s="666" t="s">
        <v>1187</v>
      </c>
      <c r="P40" s="530"/>
      <c r="Q40" s="673">
        <v>0.99</v>
      </c>
      <c r="R40" s="674">
        <f t="shared" si="21"/>
        <v>5.0863702487495056E-4</v>
      </c>
      <c r="S40" s="142"/>
      <c r="T40" s="675" t="str">
        <f t="shared" si="22"/>
        <v>Y</v>
      </c>
      <c r="U40" s="666" t="str">
        <f t="shared" si="5"/>
        <v>SM09 SM10 SM13</v>
      </c>
      <c r="V40" s="530"/>
      <c r="W40" s="673">
        <v>1</v>
      </c>
      <c r="X40" s="668">
        <f t="shared" si="23"/>
        <v>0</v>
      </c>
      <c r="Y40" s="141"/>
      <c r="Z40" s="941"/>
      <c r="AA40" s="135"/>
    </row>
    <row r="41" spans="1:27">
      <c r="A41" s="136"/>
      <c r="B41" s="662" t="s">
        <v>175</v>
      </c>
      <c r="C41" s="663">
        <v>20</v>
      </c>
      <c r="D41" s="663" t="s">
        <v>908</v>
      </c>
      <c r="E41" s="663"/>
      <c r="F41" s="663">
        <f t="shared" si="0"/>
        <v>5.0863702487495006E-2</v>
      </c>
      <c r="G41" s="663" t="s">
        <v>1192</v>
      </c>
      <c r="H41" s="663" t="s">
        <v>1401</v>
      </c>
      <c r="I41" s="664" t="s">
        <v>884</v>
      </c>
      <c r="J41" s="142"/>
      <c r="K41" s="665">
        <v>1</v>
      </c>
      <c r="L41" s="671" t="s">
        <v>1035</v>
      </c>
      <c r="M41" s="530">
        <f t="shared" si="1"/>
        <v>5.0863702487495006E-2</v>
      </c>
      <c r="N41" s="671">
        <f t="shared" si="3"/>
        <v>0</v>
      </c>
      <c r="O41" s="666" t="s">
        <v>1187</v>
      </c>
      <c r="P41" s="530"/>
      <c r="Q41" s="673">
        <v>0.99</v>
      </c>
      <c r="R41" s="674">
        <f t="shared" si="21"/>
        <v>5.0863702487495056E-4</v>
      </c>
      <c r="S41" s="142"/>
      <c r="T41" s="675" t="str">
        <f t="shared" si="22"/>
        <v>Y</v>
      </c>
      <c r="U41" s="666" t="str">
        <f t="shared" si="5"/>
        <v>SM09 SM10 SM13</v>
      </c>
      <c r="V41" s="530"/>
      <c r="W41" s="673">
        <v>1</v>
      </c>
      <c r="X41" s="668">
        <f t="shared" si="23"/>
        <v>0</v>
      </c>
      <c r="Y41" s="141"/>
      <c r="Z41" s="942"/>
      <c r="AA41" s="135"/>
    </row>
    <row r="42" spans="1:27">
      <c r="A42" s="136"/>
      <c r="B42" s="662" t="s">
        <v>176</v>
      </c>
      <c r="C42" s="663">
        <v>21</v>
      </c>
      <c r="D42" s="663" t="s">
        <v>909</v>
      </c>
      <c r="E42" s="663"/>
      <c r="F42" s="663">
        <f t="shared" si="0"/>
        <v>5.0863702487495006E-2</v>
      </c>
      <c r="G42" s="670" t="s">
        <v>1184</v>
      </c>
      <c r="H42" s="663" t="s">
        <v>1242</v>
      </c>
      <c r="I42" s="677" t="s">
        <v>1037</v>
      </c>
      <c r="J42" s="142"/>
      <c r="K42" s="665">
        <v>1</v>
      </c>
      <c r="L42" s="671" t="s">
        <v>78</v>
      </c>
      <c r="M42" s="530">
        <f t="shared" si="1"/>
        <v>5.0863702487495006E-2</v>
      </c>
      <c r="N42" s="671">
        <f t="shared" si="3"/>
        <v>1</v>
      </c>
      <c r="O42" s="672" t="s">
        <v>857</v>
      </c>
      <c r="P42" s="530"/>
      <c r="Q42" s="673"/>
      <c r="R42" s="674"/>
      <c r="S42" s="142"/>
      <c r="T42" s="675" t="str">
        <f t="shared" si="22"/>
        <v>N</v>
      </c>
      <c r="U42" s="666" t="str">
        <f t="shared" si="5"/>
        <v/>
      </c>
      <c r="V42" s="530"/>
      <c r="W42" s="673"/>
      <c r="X42" s="668"/>
      <c r="Y42" s="141"/>
      <c r="Z42" s="144"/>
      <c r="AA42" s="135"/>
    </row>
    <row r="43" spans="1:27">
      <c r="A43" s="136"/>
      <c r="B43" s="662" t="s">
        <v>177</v>
      </c>
      <c r="C43" s="663">
        <v>22</v>
      </c>
      <c r="D43" s="663" t="s">
        <v>903</v>
      </c>
      <c r="E43" s="663"/>
      <c r="F43" s="663">
        <f t="shared" si="0"/>
        <v>5.0863702487495006E-2</v>
      </c>
      <c r="G43" s="663" t="s">
        <v>1398</v>
      </c>
      <c r="H43" s="663" t="s">
        <v>1287</v>
      </c>
      <c r="I43" s="664" t="s">
        <v>884</v>
      </c>
      <c r="J43" s="142"/>
      <c r="K43" s="665">
        <v>1</v>
      </c>
      <c r="L43" s="671" t="s">
        <v>1035</v>
      </c>
      <c r="M43" s="530">
        <f t="shared" ref="M43:M44" si="24">F43*K43</f>
        <v>5.0863702487495006E-2</v>
      </c>
      <c r="N43" s="671">
        <f t="shared" ref="N43:N44" si="25">IF(L43="N",100%,0%)</f>
        <v>0</v>
      </c>
      <c r="O43" s="670" t="s">
        <v>1053</v>
      </c>
      <c r="P43" s="530"/>
      <c r="Q43" s="673">
        <v>0.6</v>
      </c>
      <c r="R43" s="674">
        <f t="shared" ref="R43" si="26">IF(L43="N",0,M43*(1-N43)*(1-Q43))</f>
        <v>2.0345480994998003E-2</v>
      </c>
      <c r="S43" s="142"/>
      <c r="T43" s="675" t="str">
        <f t="shared" ref="T43:T44" si="27">L43</f>
        <v>Y</v>
      </c>
      <c r="U43" s="666"/>
      <c r="V43" s="530"/>
      <c r="W43" s="673">
        <v>0</v>
      </c>
      <c r="X43" s="668">
        <f t="shared" ref="X43" si="28">IF(T43="N",0,(M43*(1-N43)-R43)*(1-W43))</f>
        <v>3.0518221492497003E-2</v>
      </c>
      <c r="Y43" s="141"/>
      <c r="Z43" s="144"/>
      <c r="AA43" s="135"/>
    </row>
    <row r="44" spans="1:27" ht="15.75">
      <c r="A44" s="136"/>
      <c r="B44" s="662" t="s">
        <v>178</v>
      </c>
      <c r="C44" s="663">
        <v>23</v>
      </c>
      <c r="D44" s="663" t="s">
        <v>910</v>
      </c>
      <c r="E44" s="663"/>
      <c r="F44" s="663">
        <f t="shared" si="0"/>
        <v>5.0863702487495006E-2</v>
      </c>
      <c r="G44" s="670" t="s">
        <v>1173</v>
      </c>
      <c r="H44" s="663" t="s">
        <v>1288</v>
      </c>
      <c r="I44" s="677" t="s">
        <v>884</v>
      </c>
      <c r="J44" s="142"/>
      <c r="K44" s="665">
        <v>1</v>
      </c>
      <c r="L44" s="671" t="s">
        <v>1035</v>
      </c>
      <c r="M44" s="530">
        <f t="shared" si="24"/>
        <v>5.0863702487495006E-2</v>
      </c>
      <c r="N44" s="671">
        <f t="shared" si="25"/>
        <v>0</v>
      </c>
      <c r="O44" s="666" t="s">
        <v>1200</v>
      </c>
      <c r="P44" s="666"/>
      <c r="Q44" s="666">
        <v>0.99</v>
      </c>
      <c r="R44" s="668">
        <f t="shared" ref="R44" si="29">IF(L44="N",0,M44*(1-N44)*(1-Q44))</f>
        <v>5.0863702487495056E-4</v>
      </c>
      <c r="S44" s="142"/>
      <c r="T44" s="678" t="str">
        <f t="shared" si="27"/>
        <v>Y</v>
      </c>
      <c r="U44" s="666" t="str">
        <f t="shared" si="5"/>
        <v>SM01 SM15 SM16 SM22</v>
      </c>
      <c r="V44" s="530"/>
      <c r="W44" s="666">
        <v>1</v>
      </c>
      <c r="X44" s="674">
        <f t="shared" ref="X44" si="30">IF(T44="N",0,(M44*(1-N44)-R44)*(1-W44))</f>
        <v>0</v>
      </c>
      <c r="Y44" s="141"/>
      <c r="Z44" s="507" t="s">
        <v>1191</v>
      </c>
      <c r="AA44" s="135"/>
    </row>
    <row r="45" spans="1:27">
      <c r="A45" s="136"/>
      <c r="B45" s="662" t="s">
        <v>179</v>
      </c>
      <c r="C45" s="663">
        <v>24</v>
      </c>
      <c r="D45" s="663" t="s">
        <v>908</v>
      </c>
      <c r="E45" s="663"/>
      <c r="F45" s="663">
        <f t="shared" si="0"/>
        <v>5.0863702487495006E-2</v>
      </c>
      <c r="G45" s="663" t="s">
        <v>1192</v>
      </c>
      <c r="H45" s="663" t="s">
        <v>1401</v>
      </c>
      <c r="I45" s="664" t="s">
        <v>884</v>
      </c>
      <c r="J45" s="142"/>
      <c r="K45" s="665">
        <v>1</v>
      </c>
      <c r="L45" s="671" t="s">
        <v>1035</v>
      </c>
      <c r="M45" s="530">
        <f t="shared" ref="M45" si="31">F45*K45</f>
        <v>5.0863702487495006E-2</v>
      </c>
      <c r="N45" s="671">
        <f t="shared" ref="N45" si="32">IF(L45="N",100%,0%)</f>
        <v>0</v>
      </c>
      <c r="O45" s="666" t="s">
        <v>1187</v>
      </c>
      <c r="P45" s="530"/>
      <c r="Q45" s="673">
        <v>0.99</v>
      </c>
      <c r="R45" s="674">
        <f t="shared" ref="R45" si="33">IF(L45="N",0,M45*(1-N45)*(1-Q45))</f>
        <v>5.0863702487495056E-4</v>
      </c>
      <c r="S45" s="142"/>
      <c r="T45" s="675" t="str">
        <f t="shared" ref="T45" si="34">L45</f>
        <v>Y</v>
      </c>
      <c r="U45" s="666" t="str">
        <f t="shared" si="5"/>
        <v>SM09 SM10 SM13</v>
      </c>
      <c r="V45" s="530"/>
      <c r="W45" s="673">
        <v>1</v>
      </c>
      <c r="X45" s="668">
        <f t="shared" ref="X45" si="35">IF(T45="N",0,(M45*(1-N45)-R45)*(1-W45))</f>
        <v>0</v>
      </c>
      <c r="Y45" s="141"/>
      <c r="Z45" s="132" t="s">
        <v>1189</v>
      </c>
      <c r="AA45" s="135"/>
    </row>
    <row r="46" spans="1:27" ht="15.75">
      <c r="A46" s="136"/>
      <c r="B46" s="662" t="s">
        <v>180</v>
      </c>
      <c r="C46" s="663">
        <v>25</v>
      </c>
      <c r="D46" s="663" t="s">
        <v>911</v>
      </c>
      <c r="E46" s="663"/>
      <c r="F46" s="663">
        <f t="shared" si="0"/>
        <v>5.0863702487495006E-2</v>
      </c>
      <c r="G46" s="663" t="s">
        <v>1351</v>
      </c>
      <c r="H46" s="663" t="s">
        <v>1327</v>
      </c>
      <c r="I46" s="664" t="s">
        <v>884</v>
      </c>
      <c r="J46" s="142"/>
      <c r="K46" s="665">
        <v>1</v>
      </c>
      <c r="L46" s="666" t="s">
        <v>1035</v>
      </c>
      <c r="M46" s="667">
        <f t="shared" ref="M46:M57" si="36">F46*K46</f>
        <v>5.0863702487495006E-2</v>
      </c>
      <c r="N46" s="666">
        <f>IF(L46="N",100%,0%)</f>
        <v>0</v>
      </c>
      <c r="O46" s="666" t="s">
        <v>1359</v>
      </c>
      <c r="P46" s="666"/>
      <c r="Q46" s="666">
        <v>0.99</v>
      </c>
      <c r="R46" s="668">
        <f>IF(L46="N",0,M46*(1-N46)*(1-Q46))</f>
        <v>5.0863702487495056E-4</v>
      </c>
      <c r="S46" s="142"/>
      <c r="T46" s="669" t="s">
        <v>1035</v>
      </c>
      <c r="U46" s="666" t="str">
        <f t="shared" si="5"/>
        <v>SM04 SM17</v>
      </c>
      <c r="V46" s="667"/>
      <c r="W46" s="666">
        <v>0.8</v>
      </c>
      <c r="X46" s="668">
        <f t="shared" si="2"/>
        <v>1.0071013092524009E-2</v>
      </c>
      <c r="Y46" s="141"/>
      <c r="Z46" s="165"/>
      <c r="AA46" s="135"/>
    </row>
    <row r="47" spans="1:27" ht="15.75">
      <c r="A47" s="136"/>
      <c r="B47" s="662" t="s">
        <v>181</v>
      </c>
      <c r="C47" s="663">
        <v>26</v>
      </c>
      <c r="D47" s="663" t="s">
        <v>912</v>
      </c>
      <c r="E47" s="663"/>
      <c r="F47" s="663">
        <f t="shared" si="0"/>
        <v>5.0863702487495006E-2</v>
      </c>
      <c r="G47" s="663" t="s">
        <v>1351</v>
      </c>
      <c r="H47" s="663" t="s">
        <v>1327</v>
      </c>
      <c r="I47" s="664" t="s">
        <v>884</v>
      </c>
      <c r="J47" s="142"/>
      <c r="K47" s="665">
        <v>1</v>
      </c>
      <c r="L47" s="666" t="s">
        <v>1035</v>
      </c>
      <c r="M47" s="667">
        <f t="shared" si="36"/>
        <v>5.0863702487495006E-2</v>
      </c>
      <c r="N47" s="666">
        <f t="shared" ref="N47:N57" si="37">IF(L47="N",100%,0%)</f>
        <v>0</v>
      </c>
      <c r="O47" s="666" t="s">
        <v>1359</v>
      </c>
      <c r="P47" s="666"/>
      <c r="Q47" s="666">
        <v>0.99</v>
      </c>
      <c r="R47" s="668">
        <f t="shared" ref="R47:R55" si="38">IF(L47="N",0,M47*(1-N47)*(1-Q47))</f>
        <v>5.0863702487495056E-4</v>
      </c>
      <c r="S47" s="142"/>
      <c r="T47" s="669" t="s">
        <v>1035</v>
      </c>
      <c r="U47" s="666" t="str">
        <f t="shared" si="5"/>
        <v>SM04 SM17</v>
      </c>
      <c r="V47" s="667"/>
      <c r="W47" s="666">
        <v>0.8</v>
      </c>
      <c r="X47" s="668">
        <f t="shared" si="2"/>
        <v>1.0071013092524009E-2</v>
      </c>
      <c r="Y47" s="141"/>
      <c r="Z47" s="165"/>
      <c r="AA47" s="135"/>
    </row>
    <row r="48" spans="1:27" ht="15.75">
      <c r="A48" s="136"/>
      <c r="B48" s="662" t="s">
        <v>182</v>
      </c>
      <c r="C48" s="663">
        <v>27</v>
      </c>
      <c r="D48" s="663" t="s">
        <v>913</v>
      </c>
      <c r="E48" s="663"/>
      <c r="F48" s="663">
        <f t="shared" si="0"/>
        <v>5.0863702487495006E-2</v>
      </c>
      <c r="G48" s="663" t="s">
        <v>1351</v>
      </c>
      <c r="H48" s="663" t="s">
        <v>1327</v>
      </c>
      <c r="I48" s="664" t="s">
        <v>884</v>
      </c>
      <c r="J48" s="142"/>
      <c r="K48" s="665">
        <v>1</v>
      </c>
      <c r="L48" s="666" t="s">
        <v>1035</v>
      </c>
      <c r="M48" s="667">
        <f t="shared" si="36"/>
        <v>5.0863702487495006E-2</v>
      </c>
      <c r="N48" s="666">
        <f t="shared" si="37"/>
        <v>0</v>
      </c>
      <c r="O48" s="666" t="s">
        <v>1359</v>
      </c>
      <c r="P48" s="666"/>
      <c r="Q48" s="666">
        <v>0.99</v>
      </c>
      <c r="R48" s="668">
        <f t="shared" si="38"/>
        <v>5.0863702487495056E-4</v>
      </c>
      <c r="S48" s="142"/>
      <c r="T48" s="669" t="s">
        <v>1035</v>
      </c>
      <c r="U48" s="666" t="str">
        <f t="shared" si="5"/>
        <v>SM04 SM17</v>
      </c>
      <c r="V48" s="667"/>
      <c r="W48" s="666">
        <v>0.8</v>
      </c>
      <c r="X48" s="668">
        <f t="shared" si="2"/>
        <v>1.0071013092524009E-2</v>
      </c>
      <c r="Y48" s="141"/>
      <c r="Z48" s="165"/>
      <c r="AA48" s="135"/>
    </row>
    <row r="49" spans="1:27" ht="15.75">
      <c r="A49" s="136"/>
      <c r="B49" s="662" t="s">
        <v>183</v>
      </c>
      <c r="C49" s="663">
        <v>28</v>
      </c>
      <c r="D49" s="663" t="s">
        <v>914</v>
      </c>
      <c r="E49" s="663"/>
      <c r="F49" s="663">
        <f t="shared" si="0"/>
        <v>5.0863702487495006E-2</v>
      </c>
      <c r="G49" s="663" t="s">
        <v>1351</v>
      </c>
      <c r="H49" s="663" t="s">
        <v>1327</v>
      </c>
      <c r="I49" s="664" t="s">
        <v>884</v>
      </c>
      <c r="J49" s="142"/>
      <c r="K49" s="665">
        <v>1</v>
      </c>
      <c r="L49" s="666" t="s">
        <v>1035</v>
      </c>
      <c r="M49" s="667">
        <f t="shared" si="36"/>
        <v>5.0863702487495006E-2</v>
      </c>
      <c r="N49" s="666">
        <f t="shared" si="37"/>
        <v>0</v>
      </c>
      <c r="O49" s="666" t="s">
        <v>1359</v>
      </c>
      <c r="P49" s="666"/>
      <c r="Q49" s="666">
        <v>0.99</v>
      </c>
      <c r="R49" s="668">
        <f t="shared" si="38"/>
        <v>5.0863702487495056E-4</v>
      </c>
      <c r="S49" s="142"/>
      <c r="T49" s="669" t="s">
        <v>1035</v>
      </c>
      <c r="U49" s="666" t="str">
        <f t="shared" si="5"/>
        <v>SM04 SM17</v>
      </c>
      <c r="V49" s="667"/>
      <c r="W49" s="666">
        <v>0.8</v>
      </c>
      <c r="X49" s="668">
        <f t="shared" si="2"/>
        <v>1.0071013092524009E-2</v>
      </c>
      <c r="Y49" s="141"/>
      <c r="Z49" s="165"/>
      <c r="AA49" s="135"/>
    </row>
    <row r="50" spans="1:27" ht="15.75">
      <c r="A50" s="136"/>
      <c r="B50" s="662" t="s">
        <v>184</v>
      </c>
      <c r="C50" s="663">
        <v>29</v>
      </c>
      <c r="D50" s="663" t="s">
        <v>915</v>
      </c>
      <c r="E50" s="663"/>
      <c r="F50" s="663">
        <f t="shared" si="0"/>
        <v>5.0863702487495006E-2</v>
      </c>
      <c r="G50" s="663" t="s">
        <v>1351</v>
      </c>
      <c r="H50" s="663" t="s">
        <v>1327</v>
      </c>
      <c r="I50" s="664" t="s">
        <v>884</v>
      </c>
      <c r="J50" s="142"/>
      <c r="K50" s="665">
        <v>1</v>
      </c>
      <c r="L50" s="666" t="s">
        <v>1035</v>
      </c>
      <c r="M50" s="667">
        <f t="shared" si="36"/>
        <v>5.0863702487495006E-2</v>
      </c>
      <c r="N50" s="666">
        <f t="shared" si="37"/>
        <v>0</v>
      </c>
      <c r="O50" s="666" t="s">
        <v>1359</v>
      </c>
      <c r="P50" s="666"/>
      <c r="Q50" s="666">
        <v>0.99</v>
      </c>
      <c r="R50" s="668">
        <f t="shared" si="38"/>
        <v>5.0863702487495056E-4</v>
      </c>
      <c r="S50" s="142"/>
      <c r="T50" s="669" t="s">
        <v>1035</v>
      </c>
      <c r="U50" s="666" t="str">
        <f t="shared" si="5"/>
        <v>SM04 SM17</v>
      </c>
      <c r="V50" s="667"/>
      <c r="W50" s="666">
        <v>0.8</v>
      </c>
      <c r="X50" s="668">
        <f t="shared" si="2"/>
        <v>1.0071013092524009E-2</v>
      </c>
      <c r="Y50" s="141"/>
      <c r="Z50" s="165"/>
      <c r="AA50" s="135"/>
    </row>
    <row r="51" spans="1:27" ht="15.75">
      <c r="A51" s="136"/>
      <c r="B51" s="662" t="s">
        <v>185</v>
      </c>
      <c r="C51" s="663">
        <v>30</v>
      </c>
      <c r="D51" s="663" t="s">
        <v>916</v>
      </c>
      <c r="E51" s="663"/>
      <c r="F51" s="663">
        <f t="shared" si="0"/>
        <v>5.0863702487495006E-2</v>
      </c>
      <c r="G51" s="663" t="s">
        <v>1351</v>
      </c>
      <c r="H51" s="663" t="s">
        <v>1327</v>
      </c>
      <c r="I51" s="664" t="s">
        <v>884</v>
      </c>
      <c r="J51" s="142"/>
      <c r="K51" s="665">
        <v>1</v>
      </c>
      <c r="L51" s="666" t="s">
        <v>1035</v>
      </c>
      <c r="M51" s="667">
        <f t="shared" si="36"/>
        <v>5.0863702487495006E-2</v>
      </c>
      <c r="N51" s="666">
        <f t="shared" si="37"/>
        <v>0</v>
      </c>
      <c r="O51" s="666" t="s">
        <v>1359</v>
      </c>
      <c r="P51" s="666"/>
      <c r="Q51" s="666">
        <v>0.99</v>
      </c>
      <c r="R51" s="668">
        <f t="shared" si="38"/>
        <v>5.0863702487495056E-4</v>
      </c>
      <c r="S51" s="142"/>
      <c r="T51" s="669" t="s">
        <v>1035</v>
      </c>
      <c r="U51" s="666" t="str">
        <f t="shared" si="5"/>
        <v>SM04 SM17</v>
      </c>
      <c r="V51" s="667"/>
      <c r="W51" s="666">
        <v>0.8</v>
      </c>
      <c r="X51" s="668">
        <f t="shared" si="2"/>
        <v>1.0071013092524009E-2</v>
      </c>
      <c r="Y51" s="141"/>
      <c r="Z51" s="165"/>
      <c r="AA51" s="135"/>
    </row>
    <row r="52" spans="1:27" ht="15.75">
      <c r="A52" s="136"/>
      <c r="B52" s="662" t="s">
        <v>186</v>
      </c>
      <c r="C52" s="663">
        <v>31</v>
      </c>
      <c r="D52" s="663" t="s">
        <v>917</v>
      </c>
      <c r="E52" s="663"/>
      <c r="F52" s="663">
        <f t="shared" si="0"/>
        <v>5.0863702487495006E-2</v>
      </c>
      <c r="G52" s="663" t="s">
        <v>1351</v>
      </c>
      <c r="H52" s="663" t="s">
        <v>1327</v>
      </c>
      <c r="I52" s="664" t="s">
        <v>884</v>
      </c>
      <c r="J52" s="142"/>
      <c r="K52" s="665">
        <v>1</v>
      </c>
      <c r="L52" s="666" t="s">
        <v>1035</v>
      </c>
      <c r="M52" s="667">
        <f t="shared" si="36"/>
        <v>5.0863702487495006E-2</v>
      </c>
      <c r="N52" s="666">
        <f t="shared" si="37"/>
        <v>0</v>
      </c>
      <c r="O52" s="666" t="s">
        <v>1359</v>
      </c>
      <c r="P52" s="666"/>
      <c r="Q52" s="666">
        <v>0.99</v>
      </c>
      <c r="R52" s="668">
        <f t="shared" si="38"/>
        <v>5.0863702487495056E-4</v>
      </c>
      <c r="S52" s="142"/>
      <c r="T52" s="669" t="s">
        <v>1035</v>
      </c>
      <c r="U52" s="666" t="str">
        <f t="shared" si="5"/>
        <v>SM04 SM17</v>
      </c>
      <c r="V52" s="667"/>
      <c r="W52" s="666">
        <v>0.8</v>
      </c>
      <c r="X52" s="668">
        <f t="shared" si="2"/>
        <v>1.0071013092524009E-2</v>
      </c>
      <c r="Y52" s="141"/>
      <c r="Z52" s="165"/>
      <c r="AA52" s="135"/>
    </row>
    <row r="53" spans="1:27" ht="15.75">
      <c r="A53" s="136"/>
      <c r="B53" s="662" t="s">
        <v>187</v>
      </c>
      <c r="C53" s="663">
        <v>32</v>
      </c>
      <c r="D53" s="663" t="s">
        <v>918</v>
      </c>
      <c r="E53" s="663"/>
      <c r="F53" s="663">
        <f t="shared" si="0"/>
        <v>5.0863702487495006E-2</v>
      </c>
      <c r="G53" s="663" t="s">
        <v>1351</v>
      </c>
      <c r="H53" s="663" t="s">
        <v>1327</v>
      </c>
      <c r="I53" s="664" t="s">
        <v>884</v>
      </c>
      <c r="J53" s="142"/>
      <c r="K53" s="665">
        <v>1</v>
      </c>
      <c r="L53" s="666" t="s">
        <v>1035</v>
      </c>
      <c r="M53" s="667">
        <f t="shared" si="36"/>
        <v>5.0863702487495006E-2</v>
      </c>
      <c r="N53" s="666">
        <f t="shared" si="37"/>
        <v>0</v>
      </c>
      <c r="O53" s="666" t="s">
        <v>1359</v>
      </c>
      <c r="P53" s="666"/>
      <c r="Q53" s="666">
        <v>0.99</v>
      </c>
      <c r="R53" s="668">
        <f t="shared" si="38"/>
        <v>5.0863702487495056E-4</v>
      </c>
      <c r="S53" s="142"/>
      <c r="T53" s="669" t="s">
        <v>1035</v>
      </c>
      <c r="U53" s="666" t="str">
        <f t="shared" si="5"/>
        <v>SM04 SM17</v>
      </c>
      <c r="V53" s="667"/>
      <c r="W53" s="666">
        <v>0.8</v>
      </c>
      <c r="X53" s="668">
        <f t="shared" si="2"/>
        <v>1.0071013092524009E-2</v>
      </c>
      <c r="Y53" s="141"/>
      <c r="Z53" s="165"/>
      <c r="AA53" s="135"/>
    </row>
    <row r="54" spans="1:27" ht="15.75">
      <c r="A54" s="136"/>
      <c r="B54" s="662" t="s">
        <v>188</v>
      </c>
      <c r="C54" s="663">
        <v>33</v>
      </c>
      <c r="D54" s="663" t="s">
        <v>919</v>
      </c>
      <c r="E54" s="663"/>
      <c r="F54" s="663">
        <f t="shared" si="0"/>
        <v>5.0863702487495006E-2</v>
      </c>
      <c r="G54" s="663" t="s">
        <v>1351</v>
      </c>
      <c r="H54" s="663" t="s">
        <v>1327</v>
      </c>
      <c r="I54" s="664" t="s">
        <v>884</v>
      </c>
      <c r="J54" s="142"/>
      <c r="K54" s="665">
        <v>1</v>
      </c>
      <c r="L54" s="666" t="s">
        <v>1035</v>
      </c>
      <c r="M54" s="667">
        <f t="shared" si="36"/>
        <v>5.0863702487495006E-2</v>
      </c>
      <c r="N54" s="666">
        <f t="shared" si="37"/>
        <v>0</v>
      </c>
      <c r="O54" s="666" t="s">
        <v>1359</v>
      </c>
      <c r="P54" s="666"/>
      <c r="Q54" s="666">
        <v>0.99</v>
      </c>
      <c r="R54" s="668">
        <f t="shared" si="38"/>
        <v>5.0863702487495056E-4</v>
      </c>
      <c r="S54" s="142"/>
      <c r="T54" s="669" t="s">
        <v>1035</v>
      </c>
      <c r="U54" s="666" t="str">
        <f t="shared" si="5"/>
        <v>SM04 SM17</v>
      </c>
      <c r="V54" s="667"/>
      <c r="W54" s="666">
        <v>0.8</v>
      </c>
      <c r="X54" s="668">
        <f t="shared" si="2"/>
        <v>1.0071013092524009E-2</v>
      </c>
      <c r="Y54" s="141"/>
      <c r="Z54" s="165"/>
      <c r="AA54" s="135"/>
    </row>
    <row r="55" spans="1:27" ht="15.75">
      <c r="A55" s="136"/>
      <c r="B55" s="662" t="s">
        <v>189</v>
      </c>
      <c r="C55" s="663">
        <v>34</v>
      </c>
      <c r="D55" s="663" t="s">
        <v>920</v>
      </c>
      <c r="E55" s="663"/>
      <c r="F55" s="663">
        <f t="shared" si="0"/>
        <v>5.0863702487495006E-2</v>
      </c>
      <c r="G55" s="663" t="s">
        <v>1351</v>
      </c>
      <c r="H55" s="663" t="s">
        <v>1327</v>
      </c>
      <c r="I55" s="664" t="s">
        <v>884</v>
      </c>
      <c r="J55" s="142"/>
      <c r="K55" s="665">
        <v>1</v>
      </c>
      <c r="L55" s="666" t="s">
        <v>1035</v>
      </c>
      <c r="M55" s="667">
        <f t="shared" si="36"/>
        <v>5.0863702487495006E-2</v>
      </c>
      <c r="N55" s="666">
        <f t="shared" si="37"/>
        <v>0</v>
      </c>
      <c r="O55" s="666" t="s">
        <v>1359</v>
      </c>
      <c r="P55" s="666"/>
      <c r="Q55" s="666">
        <v>0.99</v>
      </c>
      <c r="R55" s="668">
        <f t="shared" si="38"/>
        <v>5.0863702487495056E-4</v>
      </c>
      <c r="S55" s="142"/>
      <c r="T55" s="669" t="s">
        <v>1035</v>
      </c>
      <c r="U55" s="666" t="str">
        <f t="shared" si="5"/>
        <v>SM04 SM17</v>
      </c>
      <c r="V55" s="667"/>
      <c r="W55" s="666">
        <v>0.8</v>
      </c>
      <c r="X55" s="668">
        <f t="shared" si="2"/>
        <v>1.0071013092524009E-2</v>
      </c>
      <c r="Y55" s="141"/>
      <c r="Z55" s="165"/>
      <c r="AA55" s="135"/>
    </row>
    <row r="56" spans="1:27">
      <c r="A56" s="136"/>
      <c r="B56" s="662" t="s">
        <v>190</v>
      </c>
      <c r="C56" s="663">
        <v>35</v>
      </c>
      <c r="D56" s="663" t="s">
        <v>921</v>
      </c>
      <c r="E56" s="663"/>
      <c r="F56" s="663">
        <f t="shared" si="0"/>
        <v>5.0863702487495006E-2</v>
      </c>
      <c r="G56" s="670" t="s">
        <v>1184</v>
      </c>
      <c r="H56" s="663" t="s">
        <v>1242</v>
      </c>
      <c r="I56" s="677" t="s">
        <v>1037</v>
      </c>
      <c r="J56" s="142"/>
      <c r="K56" s="665">
        <v>1</v>
      </c>
      <c r="L56" s="671" t="s">
        <v>78</v>
      </c>
      <c r="M56" s="530">
        <f t="shared" si="36"/>
        <v>5.0863702487495006E-2</v>
      </c>
      <c r="N56" s="671">
        <f t="shared" si="37"/>
        <v>1</v>
      </c>
      <c r="O56" s="672" t="s">
        <v>857</v>
      </c>
      <c r="P56" s="530"/>
      <c r="Q56" s="673"/>
      <c r="R56" s="674"/>
      <c r="S56" s="142"/>
      <c r="T56" s="675" t="str">
        <f t="shared" ref="T56:T57" si="39">L56</f>
        <v>N</v>
      </c>
      <c r="U56" s="666" t="str">
        <f t="shared" si="5"/>
        <v/>
      </c>
      <c r="V56" s="530"/>
      <c r="W56" s="673"/>
      <c r="X56" s="668"/>
      <c r="Y56" s="141"/>
      <c r="Z56" s="144"/>
      <c r="AA56" s="135"/>
    </row>
    <row r="57" spans="1:27">
      <c r="A57" s="136"/>
      <c r="B57" s="662" t="s">
        <v>191</v>
      </c>
      <c r="C57" s="663">
        <v>36</v>
      </c>
      <c r="D57" s="663" t="s">
        <v>922</v>
      </c>
      <c r="E57" s="663"/>
      <c r="F57" s="663">
        <f t="shared" si="0"/>
        <v>5.0863702487495006E-2</v>
      </c>
      <c r="G57" s="670" t="s">
        <v>1184</v>
      </c>
      <c r="H57" s="663" t="s">
        <v>1242</v>
      </c>
      <c r="I57" s="677" t="s">
        <v>1037</v>
      </c>
      <c r="J57" s="142"/>
      <c r="K57" s="665">
        <v>1</v>
      </c>
      <c r="L57" s="671" t="s">
        <v>78</v>
      </c>
      <c r="M57" s="530">
        <f t="shared" si="36"/>
        <v>5.0863702487495006E-2</v>
      </c>
      <c r="N57" s="671">
        <f t="shared" si="37"/>
        <v>1</v>
      </c>
      <c r="O57" s="672" t="s">
        <v>857</v>
      </c>
      <c r="P57" s="530"/>
      <c r="Q57" s="673"/>
      <c r="R57" s="674"/>
      <c r="S57" s="142"/>
      <c r="T57" s="675" t="str">
        <f t="shared" si="39"/>
        <v>N</v>
      </c>
      <c r="U57" s="666" t="str">
        <f t="shared" si="5"/>
        <v/>
      </c>
      <c r="V57" s="530"/>
      <c r="W57" s="673"/>
      <c r="X57" s="668"/>
      <c r="Y57" s="141"/>
      <c r="Z57" s="144"/>
      <c r="AA57" s="135"/>
    </row>
    <row r="58" spans="1:27" ht="15.75">
      <c r="A58" s="136"/>
      <c r="B58" s="662" t="s">
        <v>192</v>
      </c>
      <c r="C58" s="663">
        <v>37</v>
      </c>
      <c r="D58" s="663" t="s">
        <v>923</v>
      </c>
      <c r="E58" s="663"/>
      <c r="F58" s="663">
        <f t="shared" si="0"/>
        <v>5.0863702487495006E-2</v>
      </c>
      <c r="G58" s="663" t="s">
        <v>1351</v>
      </c>
      <c r="H58" s="663" t="s">
        <v>1327</v>
      </c>
      <c r="I58" s="664" t="s">
        <v>884</v>
      </c>
      <c r="J58" s="142"/>
      <c r="K58" s="665">
        <v>1</v>
      </c>
      <c r="L58" s="666" t="s">
        <v>1035</v>
      </c>
      <c r="M58" s="667">
        <f t="shared" ref="M58:M64" si="40">F58*K58</f>
        <v>5.0863702487495006E-2</v>
      </c>
      <c r="N58" s="666">
        <f>IF(L58="N",100%,0%)</f>
        <v>0</v>
      </c>
      <c r="O58" s="666" t="s">
        <v>1359</v>
      </c>
      <c r="P58" s="666"/>
      <c r="Q58" s="666">
        <v>0.99</v>
      </c>
      <c r="R58" s="668">
        <f>IF(L58="N",0,M58*(1-N58)*(1-Q58))</f>
        <v>5.0863702487495056E-4</v>
      </c>
      <c r="S58" s="142"/>
      <c r="T58" s="669" t="s">
        <v>1035</v>
      </c>
      <c r="U58" s="666" t="str">
        <f t="shared" si="5"/>
        <v>SM04 SM17</v>
      </c>
      <c r="V58" s="667"/>
      <c r="W58" s="666">
        <v>0.8</v>
      </c>
      <c r="X58" s="668">
        <f t="shared" si="2"/>
        <v>1.0071013092524009E-2</v>
      </c>
      <c r="Y58" s="141"/>
      <c r="Z58" s="165"/>
      <c r="AA58" s="135"/>
    </row>
    <row r="59" spans="1:27">
      <c r="A59" s="136"/>
      <c r="B59" s="662" t="s">
        <v>193</v>
      </c>
      <c r="C59" s="663">
        <v>38</v>
      </c>
      <c r="D59" s="663" t="s">
        <v>924</v>
      </c>
      <c r="E59" s="663"/>
      <c r="F59" s="663">
        <f t="shared" si="0"/>
        <v>5.0863702487495006E-2</v>
      </c>
      <c r="G59" s="663" t="s">
        <v>1192</v>
      </c>
      <c r="H59" s="663" t="s">
        <v>1401</v>
      </c>
      <c r="I59" s="664" t="s">
        <v>884</v>
      </c>
      <c r="J59" s="142"/>
      <c r="K59" s="665">
        <v>1</v>
      </c>
      <c r="L59" s="671" t="s">
        <v>1035</v>
      </c>
      <c r="M59" s="530">
        <f t="shared" si="40"/>
        <v>5.0863702487495006E-2</v>
      </c>
      <c r="N59" s="671">
        <f t="shared" ref="N59" si="41">IF(L59="N",100%,0%)</f>
        <v>0</v>
      </c>
      <c r="O59" s="666" t="s">
        <v>1187</v>
      </c>
      <c r="P59" s="530"/>
      <c r="Q59" s="673">
        <v>0.99</v>
      </c>
      <c r="R59" s="674">
        <f t="shared" ref="R59" si="42">IF(L59="N",0,M59*(1-N59)*(1-Q59))</f>
        <v>5.0863702487495056E-4</v>
      </c>
      <c r="S59" s="142"/>
      <c r="T59" s="675" t="str">
        <f t="shared" ref="T59" si="43">L59</f>
        <v>Y</v>
      </c>
      <c r="U59" s="666" t="str">
        <f t="shared" si="5"/>
        <v>SM09 SM10 SM13</v>
      </c>
      <c r="V59" s="530"/>
      <c r="W59" s="673">
        <v>1</v>
      </c>
      <c r="X59" s="668">
        <f t="shared" si="2"/>
        <v>0</v>
      </c>
      <c r="Y59" s="141"/>
      <c r="Z59" s="132" t="s">
        <v>1189</v>
      </c>
      <c r="AA59" s="135"/>
    </row>
    <row r="60" spans="1:27" ht="15.75">
      <c r="A60" s="136"/>
      <c r="B60" s="662" t="s">
        <v>194</v>
      </c>
      <c r="C60" s="663">
        <v>39</v>
      </c>
      <c r="D60" s="663" t="s">
        <v>925</v>
      </c>
      <c r="E60" s="663"/>
      <c r="F60" s="663">
        <f t="shared" si="0"/>
        <v>5.0863702487495006E-2</v>
      </c>
      <c r="G60" s="663" t="s">
        <v>1351</v>
      </c>
      <c r="H60" s="663" t="s">
        <v>1327</v>
      </c>
      <c r="I60" s="664" t="s">
        <v>884</v>
      </c>
      <c r="J60" s="142"/>
      <c r="K60" s="665">
        <v>1</v>
      </c>
      <c r="L60" s="666" t="s">
        <v>1035</v>
      </c>
      <c r="M60" s="667">
        <f t="shared" si="40"/>
        <v>5.0863702487495006E-2</v>
      </c>
      <c r="N60" s="666">
        <f>IF(L60="N",100%,0%)</f>
        <v>0</v>
      </c>
      <c r="O60" s="666" t="s">
        <v>1359</v>
      </c>
      <c r="P60" s="666"/>
      <c r="Q60" s="666">
        <v>0.99</v>
      </c>
      <c r="R60" s="668">
        <f>IF(L60="N",0,M60*(1-N60)*(1-Q60))</f>
        <v>5.0863702487495056E-4</v>
      </c>
      <c r="S60" s="142"/>
      <c r="T60" s="669" t="s">
        <v>1035</v>
      </c>
      <c r="U60" s="666" t="str">
        <f t="shared" si="5"/>
        <v>SM04 SM17</v>
      </c>
      <c r="V60" s="667"/>
      <c r="W60" s="666">
        <v>0.8</v>
      </c>
      <c r="X60" s="668">
        <f t="shared" si="2"/>
        <v>1.0071013092524009E-2</v>
      </c>
      <c r="Y60" s="141"/>
      <c r="Z60" s="165"/>
      <c r="AA60" s="135"/>
    </row>
    <row r="61" spans="1:27" ht="15.75">
      <c r="A61" s="136"/>
      <c r="B61" s="662" t="s">
        <v>195</v>
      </c>
      <c r="C61" s="663">
        <v>40</v>
      </c>
      <c r="D61" s="663" t="s">
        <v>926</v>
      </c>
      <c r="E61" s="663"/>
      <c r="F61" s="663">
        <f t="shared" si="0"/>
        <v>5.0863702487495006E-2</v>
      </c>
      <c r="G61" s="663" t="s">
        <v>1351</v>
      </c>
      <c r="H61" s="663" t="s">
        <v>1327</v>
      </c>
      <c r="I61" s="664" t="s">
        <v>884</v>
      </c>
      <c r="J61" s="142"/>
      <c r="K61" s="665">
        <v>1</v>
      </c>
      <c r="L61" s="666" t="s">
        <v>1035</v>
      </c>
      <c r="M61" s="667">
        <f t="shared" ref="M61:M62" si="44">F61*K61</f>
        <v>5.0863702487495006E-2</v>
      </c>
      <c r="N61" s="666">
        <f>IF(L61="N",100%,0%)</f>
        <v>0</v>
      </c>
      <c r="O61" s="666" t="s">
        <v>1359</v>
      </c>
      <c r="P61" s="666"/>
      <c r="Q61" s="666">
        <v>0.99</v>
      </c>
      <c r="R61" s="668">
        <f>IF(L61="N",0,M61*(1-N61)*(1-Q61))</f>
        <v>5.0863702487495056E-4</v>
      </c>
      <c r="S61" s="142"/>
      <c r="T61" s="669" t="s">
        <v>1035</v>
      </c>
      <c r="U61" s="666" t="str">
        <f t="shared" si="5"/>
        <v>SM04 SM17</v>
      </c>
      <c r="V61" s="667"/>
      <c r="W61" s="666">
        <v>0.8</v>
      </c>
      <c r="X61" s="668">
        <f t="shared" si="2"/>
        <v>1.0071013092524009E-2</v>
      </c>
      <c r="Y61" s="141"/>
      <c r="Z61" s="165"/>
      <c r="AA61" s="135"/>
    </row>
    <row r="62" spans="1:27" ht="15.75">
      <c r="A62" s="136"/>
      <c r="B62" s="662" t="s">
        <v>196</v>
      </c>
      <c r="C62" s="663">
        <v>41</v>
      </c>
      <c r="D62" s="663" t="s">
        <v>927</v>
      </c>
      <c r="E62" s="663"/>
      <c r="F62" s="663">
        <f t="shared" si="0"/>
        <v>5.0863702487495006E-2</v>
      </c>
      <c r="G62" s="670" t="s">
        <v>1173</v>
      </c>
      <c r="H62" s="663" t="s">
        <v>1288</v>
      </c>
      <c r="I62" s="677" t="s">
        <v>884</v>
      </c>
      <c r="J62" s="142"/>
      <c r="K62" s="665">
        <v>1</v>
      </c>
      <c r="L62" s="671" t="s">
        <v>1035</v>
      </c>
      <c r="M62" s="530">
        <f t="shared" si="44"/>
        <v>5.0863702487495006E-2</v>
      </c>
      <c r="N62" s="671">
        <f t="shared" ref="N62" si="45">IF(L62="N",100%,0%)</f>
        <v>0</v>
      </c>
      <c r="O62" s="666" t="s">
        <v>1200</v>
      </c>
      <c r="P62" s="666"/>
      <c r="Q62" s="666">
        <v>0.99</v>
      </c>
      <c r="R62" s="668">
        <f t="shared" ref="R62" si="46">IF(L62="N",0,M62*(1-N62)*(1-Q62))</f>
        <v>5.0863702487495056E-4</v>
      </c>
      <c r="S62" s="142"/>
      <c r="T62" s="678" t="str">
        <f t="shared" ref="T62" si="47">L62</f>
        <v>Y</v>
      </c>
      <c r="U62" s="666" t="str">
        <f t="shared" si="5"/>
        <v>SM01 SM15 SM16 SM22</v>
      </c>
      <c r="V62" s="530"/>
      <c r="W62" s="666">
        <v>1</v>
      </c>
      <c r="X62" s="674">
        <f t="shared" si="2"/>
        <v>0</v>
      </c>
      <c r="Y62" s="141"/>
      <c r="Z62" s="507" t="s">
        <v>1191</v>
      </c>
      <c r="AA62" s="135"/>
    </row>
    <row r="63" spans="1:27" s="72" customFormat="1" ht="15.75">
      <c r="A63" s="136"/>
      <c r="B63" s="662" t="s">
        <v>197</v>
      </c>
      <c r="C63" s="663">
        <v>42</v>
      </c>
      <c r="D63" s="663" t="s">
        <v>928</v>
      </c>
      <c r="E63" s="663"/>
      <c r="F63" s="663">
        <f t="shared" si="0"/>
        <v>5.0863702487495006E-2</v>
      </c>
      <c r="G63" s="663" t="s">
        <v>1213</v>
      </c>
      <c r="H63" s="663" t="s">
        <v>1288</v>
      </c>
      <c r="I63" s="664" t="s">
        <v>884</v>
      </c>
      <c r="J63" s="142"/>
      <c r="K63" s="665">
        <v>1</v>
      </c>
      <c r="L63" s="666" t="s">
        <v>1035</v>
      </c>
      <c r="M63" s="667">
        <f t="shared" si="40"/>
        <v>5.0863702487495006E-2</v>
      </c>
      <c r="N63" s="666">
        <f t="shared" ref="N63" si="48">IF(L63="N",100%,0%)</f>
        <v>0</v>
      </c>
      <c r="O63" s="666" t="s">
        <v>1202</v>
      </c>
      <c r="P63" s="666"/>
      <c r="Q63" s="666">
        <v>0.9</v>
      </c>
      <c r="R63" s="668">
        <f t="shared" ref="R63" si="49">IF(L63="N",0,M63*(1-N63)*(1-Q63))</f>
        <v>5.0863702487494991E-3</v>
      </c>
      <c r="S63" s="142"/>
      <c r="T63" s="678" t="str">
        <f t="shared" ref="T63" si="50">L63</f>
        <v>Y</v>
      </c>
      <c r="U63" s="666" t="str">
        <f t="shared" si="5"/>
        <v>SM14 SM22</v>
      </c>
      <c r="V63" s="530"/>
      <c r="W63" s="666">
        <v>1</v>
      </c>
      <c r="X63" s="674">
        <f t="shared" si="2"/>
        <v>0</v>
      </c>
      <c r="Y63" s="141"/>
      <c r="Z63" s="507" t="s">
        <v>1203</v>
      </c>
      <c r="AA63" s="135"/>
    </row>
    <row r="64" spans="1:27" s="72" customFormat="1">
      <c r="A64" s="136"/>
      <c r="B64" s="662" t="s">
        <v>198</v>
      </c>
      <c r="C64" s="663">
        <v>43</v>
      </c>
      <c r="D64" s="663" t="s">
        <v>929</v>
      </c>
      <c r="E64" s="663"/>
      <c r="F64" s="663">
        <f t="shared" si="0"/>
        <v>5.0863702487495006E-2</v>
      </c>
      <c r="G64" s="663" t="s">
        <v>1192</v>
      </c>
      <c r="H64" s="663" t="s">
        <v>1401</v>
      </c>
      <c r="I64" s="664" t="s">
        <v>884</v>
      </c>
      <c r="J64" s="142"/>
      <c r="K64" s="665">
        <v>1</v>
      </c>
      <c r="L64" s="671" t="s">
        <v>1035</v>
      </c>
      <c r="M64" s="530">
        <f t="shared" si="40"/>
        <v>5.0863702487495006E-2</v>
      </c>
      <c r="N64" s="671">
        <f t="shared" si="3"/>
        <v>0</v>
      </c>
      <c r="O64" s="666" t="s">
        <v>1187</v>
      </c>
      <c r="P64" s="530"/>
      <c r="Q64" s="673">
        <v>0.99</v>
      </c>
      <c r="R64" s="674">
        <f t="shared" si="4"/>
        <v>5.0863702487495056E-4</v>
      </c>
      <c r="S64" s="142"/>
      <c r="T64" s="675" t="str">
        <f t="shared" ref="T64" si="51">L64</f>
        <v>Y</v>
      </c>
      <c r="U64" s="666" t="str">
        <f t="shared" si="5"/>
        <v>SM09 SM10 SM13</v>
      </c>
      <c r="V64" s="530"/>
      <c r="W64" s="673">
        <v>1</v>
      </c>
      <c r="X64" s="668">
        <f t="shared" si="2"/>
        <v>0</v>
      </c>
      <c r="Y64" s="141"/>
      <c r="Z64" s="132" t="s">
        <v>1189</v>
      </c>
      <c r="AA64" s="135"/>
    </row>
    <row r="65" spans="1:27" s="72" customFormat="1" ht="15.75">
      <c r="A65" s="136"/>
      <c r="B65" s="662" t="s">
        <v>199</v>
      </c>
      <c r="C65" s="663">
        <v>44</v>
      </c>
      <c r="D65" s="663" t="s">
        <v>930</v>
      </c>
      <c r="E65" s="663"/>
      <c r="F65" s="663">
        <f t="shared" si="0"/>
        <v>5.0863702487495006E-2</v>
      </c>
      <c r="G65" s="663" t="s">
        <v>1351</v>
      </c>
      <c r="H65" s="663" t="s">
        <v>1327</v>
      </c>
      <c r="I65" s="664" t="s">
        <v>884</v>
      </c>
      <c r="J65" s="142"/>
      <c r="K65" s="665">
        <v>1</v>
      </c>
      <c r="L65" s="666" t="s">
        <v>1035</v>
      </c>
      <c r="M65" s="667">
        <f t="shared" ref="M65:M69" si="52">F65*K65</f>
        <v>5.0863702487495006E-2</v>
      </c>
      <c r="N65" s="666">
        <f>IF(L65="N",100%,0%)</f>
        <v>0</v>
      </c>
      <c r="O65" s="666" t="s">
        <v>1359</v>
      </c>
      <c r="P65" s="666"/>
      <c r="Q65" s="666">
        <v>0.99</v>
      </c>
      <c r="R65" s="668">
        <f>IF(L65="N",0,M65*(1-N65)*(1-Q65))</f>
        <v>5.0863702487495056E-4</v>
      </c>
      <c r="S65" s="142"/>
      <c r="T65" s="669" t="s">
        <v>1035</v>
      </c>
      <c r="U65" s="666" t="str">
        <f t="shared" si="5"/>
        <v>SM04 SM17</v>
      </c>
      <c r="V65" s="667"/>
      <c r="W65" s="666">
        <v>0.8</v>
      </c>
      <c r="X65" s="668">
        <f t="shared" si="2"/>
        <v>1.0071013092524009E-2</v>
      </c>
      <c r="Y65" s="141"/>
      <c r="Z65" s="165"/>
      <c r="AA65" s="135"/>
    </row>
    <row r="66" spans="1:27" s="72" customFormat="1" ht="15.75">
      <c r="A66" s="136"/>
      <c r="B66" s="662" t="s">
        <v>200</v>
      </c>
      <c r="C66" s="663">
        <v>45</v>
      </c>
      <c r="D66" s="663" t="s">
        <v>931</v>
      </c>
      <c r="E66" s="663"/>
      <c r="F66" s="663">
        <f t="shared" si="0"/>
        <v>5.0863702487495006E-2</v>
      </c>
      <c r="G66" s="663" t="s">
        <v>1351</v>
      </c>
      <c r="H66" s="663" t="s">
        <v>1327</v>
      </c>
      <c r="I66" s="664" t="s">
        <v>884</v>
      </c>
      <c r="J66" s="142"/>
      <c r="K66" s="665">
        <v>1</v>
      </c>
      <c r="L66" s="666" t="s">
        <v>1035</v>
      </c>
      <c r="M66" s="667">
        <f t="shared" si="52"/>
        <v>5.0863702487495006E-2</v>
      </c>
      <c r="N66" s="666">
        <f>IF(L66="N",100%,0%)</f>
        <v>0</v>
      </c>
      <c r="O66" s="666" t="s">
        <v>1359</v>
      </c>
      <c r="P66" s="666"/>
      <c r="Q66" s="666">
        <v>0.99</v>
      </c>
      <c r="R66" s="668">
        <f>IF(L66="N",0,M66*(1-N66)*(1-Q66))</f>
        <v>5.0863702487495056E-4</v>
      </c>
      <c r="S66" s="142"/>
      <c r="T66" s="669" t="s">
        <v>1035</v>
      </c>
      <c r="U66" s="666" t="str">
        <f t="shared" si="5"/>
        <v>SM04 SM17</v>
      </c>
      <c r="V66" s="667"/>
      <c r="W66" s="666">
        <v>0.8</v>
      </c>
      <c r="X66" s="668">
        <f t="shared" si="2"/>
        <v>1.0071013092524009E-2</v>
      </c>
      <c r="Y66" s="141"/>
      <c r="Z66" s="165"/>
      <c r="AA66" s="135"/>
    </row>
    <row r="67" spans="1:27" s="72" customFormat="1">
      <c r="A67" s="136"/>
      <c r="B67" s="662" t="s">
        <v>201</v>
      </c>
      <c r="C67" s="663">
        <v>46</v>
      </c>
      <c r="D67" s="663" t="s">
        <v>932</v>
      </c>
      <c r="E67" s="663"/>
      <c r="F67" s="663">
        <f t="shared" si="0"/>
        <v>5.0863702487495006E-2</v>
      </c>
      <c r="G67" s="670" t="s">
        <v>1184</v>
      </c>
      <c r="H67" s="663" t="s">
        <v>1242</v>
      </c>
      <c r="I67" s="677" t="s">
        <v>1037</v>
      </c>
      <c r="J67" s="142"/>
      <c r="K67" s="665">
        <v>1</v>
      </c>
      <c r="L67" s="671" t="s">
        <v>78</v>
      </c>
      <c r="M67" s="530">
        <f t="shared" si="52"/>
        <v>5.0863702487495006E-2</v>
      </c>
      <c r="N67" s="671">
        <f t="shared" ref="N67:N69" si="53">IF(L67="N",100%,0%)</f>
        <v>1</v>
      </c>
      <c r="O67" s="672" t="s">
        <v>857</v>
      </c>
      <c r="P67" s="530"/>
      <c r="Q67" s="673"/>
      <c r="R67" s="674"/>
      <c r="S67" s="142"/>
      <c r="T67" s="675" t="str">
        <f t="shared" ref="T67:T69" si="54">L67</f>
        <v>N</v>
      </c>
      <c r="U67" s="666" t="str">
        <f t="shared" si="5"/>
        <v/>
      </c>
      <c r="V67" s="530"/>
      <c r="W67" s="673"/>
      <c r="X67" s="668"/>
      <c r="Y67" s="141"/>
      <c r="Z67" s="144"/>
      <c r="AA67" s="135"/>
    </row>
    <row r="68" spans="1:27" s="72" customFormat="1">
      <c r="A68" s="136"/>
      <c r="B68" s="662" t="s">
        <v>202</v>
      </c>
      <c r="C68" s="663">
        <v>47</v>
      </c>
      <c r="D68" s="663" t="s">
        <v>933</v>
      </c>
      <c r="E68" s="663"/>
      <c r="F68" s="663">
        <f t="shared" si="0"/>
        <v>5.0863702487495006E-2</v>
      </c>
      <c r="G68" s="670" t="s">
        <v>1184</v>
      </c>
      <c r="H68" s="663" t="s">
        <v>1242</v>
      </c>
      <c r="I68" s="677" t="s">
        <v>1037</v>
      </c>
      <c r="J68" s="142"/>
      <c r="K68" s="665">
        <v>1</v>
      </c>
      <c r="L68" s="671" t="s">
        <v>78</v>
      </c>
      <c r="M68" s="530">
        <f t="shared" si="52"/>
        <v>5.0863702487495006E-2</v>
      </c>
      <c r="N68" s="671">
        <f t="shared" si="53"/>
        <v>1</v>
      </c>
      <c r="O68" s="672" t="s">
        <v>857</v>
      </c>
      <c r="P68" s="530"/>
      <c r="Q68" s="673"/>
      <c r="R68" s="674"/>
      <c r="S68" s="142"/>
      <c r="T68" s="675" t="str">
        <f t="shared" si="54"/>
        <v>N</v>
      </c>
      <c r="U68" s="666" t="str">
        <f t="shared" si="5"/>
        <v/>
      </c>
      <c r="V68" s="530"/>
      <c r="W68" s="673"/>
      <c r="X68" s="668"/>
      <c r="Y68" s="141"/>
      <c r="Z68" s="144"/>
      <c r="AA68" s="135"/>
    </row>
    <row r="69" spans="1:27" s="72" customFormat="1" ht="16.5" thickBot="1">
      <c r="A69" s="136"/>
      <c r="B69" s="679" t="s">
        <v>203</v>
      </c>
      <c r="C69" s="680">
        <v>48</v>
      </c>
      <c r="D69" s="680" t="s">
        <v>934</v>
      </c>
      <c r="E69" s="680"/>
      <c r="F69" s="680">
        <f t="shared" si="0"/>
        <v>5.0863702487495006E-2</v>
      </c>
      <c r="G69" s="680" t="s">
        <v>1213</v>
      </c>
      <c r="H69" s="680" t="s">
        <v>1288</v>
      </c>
      <c r="I69" s="681" t="s">
        <v>884</v>
      </c>
      <c r="J69" s="142"/>
      <c r="K69" s="682">
        <v>1</v>
      </c>
      <c r="L69" s="683" t="s">
        <v>1035</v>
      </c>
      <c r="M69" s="684">
        <f t="shared" si="52"/>
        <v>5.0863702487495006E-2</v>
      </c>
      <c r="N69" s="683">
        <f t="shared" si="53"/>
        <v>0</v>
      </c>
      <c r="O69" s="683" t="s">
        <v>1202</v>
      </c>
      <c r="P69" s="683"/>
      <c r="Q69" s="683">
        <v>0.9</v>
      </c>
      <c r="R69" s="685">
        <f t="shared" ref="R69" si="55">IF(L69="N",0,M69*(1-N69)*(1-Q69))</f>
        <v>5.0863702487494991E-3</v>
      </c>
      <c r="S69" s="142"/>
      <c r="T69" s="686" t="str">
        <f t="shared" si="54"/>
        <v>Y</v>
      </c>
      <c r="U69" s="725" t="str">
        <f>O69</f>
        <v>SM14 SM22</v>
      </c>
      <c r="V69" s="687"/>
      <c r="W69" s="683">
        <v>1</v>
      </c>
      <c r="X69" s="688">
        <f t="shared" ref="X69" si="56">IF(T69="N",0,(M69*(1-N69)-R69)*(1-W69))</f>
        <v>0</v>
      </c>
      <c r="Y69" s="141"/>
      <c r="Z69" s="507" t="s">
        <v>1207</v>
      </c>
      <c r="AA69" s="135"/>
    </row>
    <row r="70" spans="1:27">
      <c r="A70" s="135"/>
      <c r="B70" s="137"/>
      <c r="C70" s="137"/>
      <c r="D70" s="137"/>
      <c r="E70" s="137"/>
      <c r="F70" s="461">
        <f>SUM(F22:F69)</f>
        <v>2.4414577193997591</v>
      </c>
      <c r="G70" s="137"/>
      <c r="H70" s="137"/>
      <c r="I70" s="137"/>
      <c r="J70" s="135"/>
      <c r="K70" s="137"/>
      <c r="L70" s="137"/>
      <c r="M70" s="461">
        <f>SUM(M22:M69)</f>
        <v>2.4414577193997591</v>
      </c>
      <c r="N70" s="137"/>
      <c r="O70" s="137"/>
      <c r="P70" s="137"/>
      <c r="Q70" s="137"/>
      <c r="R70" s="461">
        <f>SUM(R22:R69)</f>
        <v>6.6631450258618441E-2</v>
      </c>
      <c r="S70" s="135"/>
      <c r="T70" s="137"/>
      <c r="U70" s="137"/>
      <c r="V70" s="137"/>
      <c r="W70" s="137"/>
      <c r="X70" s="461">
        <f>SUM(X22:X69)</f>
        <v>0.25238569174295017</v>
      </c>
      <c r="Y70" s="135"/>
      <c r="Z70" s="135"/>
      <c r="AA70" s="135"/>
    </row>
    <row r="71" spans="1:27">
      <c r="A71" s="135"/>
      <c r="B71" s="135"/>
      <c r="C71" s="135"/>
      <c r="D71" s="135"/>
      <c r="E71" s="135"/>
      <c r="F71" s="135"/>
      <c r="G71" s="135"/>
      <c r="H71" s="135"/>
      <c r="I71" s="135"/>
      <c r="J71" s="135"/>
      <c r="K71" s="135"/>
      <c r="L71" s="135"/>
      <c r="M71" s="135"/>
      <c r="N71" s="135"/>
      <c r="O71" s="135"/>
      <c r="P71" s="135"/>
      <c r="Q71" s="135"/>
      <c r="R71" s="135"/>
      <c r="S71" s="135"/>
      <c r="T71" s="135"/>
      <c r="U71" s="135"/>
      <c r="V71" s="135"/>
      <c r="W71" s="135"/>
      <c r="X71" s="135"/>
      <c r="Y71" s="135"/>
      <c r="Z71" s="135"/>
      <c r="AA71" s="135"/>
    </row>
    <row r="72" spans="1:27">
      <c r="A72" s="135"/>
    </row>
  </sheetData>
  <mergeCells count="18">
    <mergeCell ref="Z38:Z41"/>
    <mergeCell ref="V4:W4"/>
    <mergeCell ref="V5:W5"/>
    <mergeCell ref="V6:W6"/>
    <mergeCell ref="V7:W7"/>
    <mergeCell ref="X4:Z4"/>
    <mergeCell ref="X6:Z6"/>
    <mergeCell ref="X7:Z7"/>
    <mergeCell ref="X5:Y5"/>
    <mergeCell ref="A9:AA9"/>
    <mergeCell ref="A11:AA11"/>
    <mergeCell ref="Z20:Z21"/>
    <mergeCell ref="K18:X18"/>
    <mergeCell ref="C19:D19"/>
    <mergeCell ref="K19:R19"/>
    <mergeCell ref="T19:X19"/>
    <mergeCell ref="B15:D15"/>
    <mergeCell ref="B16:D16"/>
  </mergeCells>
  <phoneticPr fontId="3" type="noConversion"/>
  <pageMargins left="0.7" right="0.7" top="0.75" bottom="0.75" header="0.3" footer="0.3"/>
  <pageSetup paperSize="9" scale="21" orientation="portrait" horizontalDpi="1200" verticalDpi="1200" r:id="rId1"/>
  <headerFooter>
    <oddHeader>&amp;C&amp;G</oddHeader>
    <oddFooter>&amp;C&amp;1#&amp;"맑은 고딕"&amp;6&amp;K737373관 윤 / 1628679@mobis.co.kr / 본 문서는 현대모비스의 대외비 정보자산이므로 무단 전재 및 복제할 수 없으며, 위반 시 당사 사규 및 관련 법규에 의해 제재될 수 있습니다.</odd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theme="5"/>
  </sheetPr>
  <dimension ref="A1:AH71"/>
  <sheetViews>
    <sheetView topLeftCell="A21" zoomScale="70" zoomScaleNormal="70" zoomScaleSheetLayoutView="70" workbookViewId="0">
      <selection activeCell="G33" sqref="G33"/>
    </sheetView>
  </sheetViews>
  <sheetFormatPr defaultColWidth="9" defaultRowHeight="15"/>
  <cols>
    <col min="1" max="1" width="5.7109375" style="39" customWidth="1"/>
    <col min="2" max="2" width="15.7109375" style="39" bestFit="1" customWidth="1"/>
    <col min="3" max="3" width="5.85546875" style="72" bestFit="1" customWidth="1"/>
    <col min="4" max="4" width="10.140625" style="134" bestFit="1" customWidth="1"/>
    <col min="5" max="5" width="12.85546875" style="72" bestFit="1" customWidth="1"/>
    <col min="6" max="6" width="13.85546875" style="72" bestFit="1" customWidth="1"/>
    <col min="7" max="7" width="48.28515625" style="72" customWidth="1"/>
    <col min="8" max="8" width="33.85546875" style="23" customWidth="1"/>
    <col min="9" max="9" width="21.7109375" style="39" customWidth="1"/>
    <col min="10" max="10" width="3.42578125" style="39" customWidth="1"/>
    <col min="11" max="11" width="6.42578125" style="39" bestFit="1" customWidth="1"/>
    <col min="12" max="12" width="12.7109375" style="39" bestFit="1" customWidth="1"/>
    <col min="13" max="13" width="13.85546875" style="39" bestFit="1" customWidth="1"/>
    <col min="14" max="14" width="7.140625" style="39" bestFit="1" customWidth="1"/>
    <col min="15" max="15" width="25.140625" style="39" customWidth="1"/>
    <col min="16" max="16" width="10.140625" style="39" bestFit="1" customWidth="1"/>
    <col min="17" max="17" width="11.28515625" style="39" customWidth="1"/>
    <col min="18" max="18" width="13.85546875" style="39" bestFit="1" customWidth="1"/>
    <col min="19" max="19" width="3.7109375" style="39" bestFit="1" customWidth="1"/>
    <col min="20" max="20" width="18.140625" style="39" customWidth="1"/>
    <col min="21" max="21" width="31.7109375" style="39" customWidth="1"/>
    <col min="22" max="22" width="10.140625" style="39" bestFit="1" customWidth="1"/>
    <col min="23" max="23" width="7.140625" style="39" bestFit="1" customWidth="1"/>
    <col min="24" max="24" width="13.140625" style="39" bestFit="1" customWidth="1"/>
    <col min="25" max="25" width="3.140625" style="39" customWidth="1"/>
    <col min="26" max="26" width="80.42578125" style="146" customWidth="1"/>
    <col min="27" max="27" width="5.7109375" style="39" customWidth="1"/>
    <col min="28" max="37" width="19.7109375" style="39" customWidth="1"/>
    <col min="38" max="16384" width="9" style="39"/>
  </cols>
  <sheetData>
    <row r="1" spans="1:34">
      <c r="A1" s="135"/>
      <c r="B1" s="135"/>
      <c r="C1" s="135"/>
      <c r="D1" s="135"/>
      <c r="E1" s="135"/>
      <c r="F1" s="135"/>
      <c r="G1" s="135"/>
      <c r="H1" s="135"/>
      <c r="I1" s="135"/>
      <c r="J1" s="135"/>
      <c r="K1" s="135"/>
      <c r="L1" s="135"/>
      <c r="M1" s="135"/>
      <c r="N1" s="135"/>
      <c r="O1" s="135"/>
      <c r="P1" s="135"/>
      <c r="Q1" s="135"/>
      <c r="R1" s="135"/>
      <c r="S1" s="135"/>
      <c r="T1" s="135"/>
      <c r="U1" s="135"/>
      <c r="V1" s="135"/>
      <c r="W1" s="135"/>
      <c r="X1" s="135"/>
      <c r="Y1" s="135"/>
      <c r="Z1" s="135"/>
      <c r="AA1" s="135"/>
    </row>
    <row r="2" spans="1:34">
      <c r="A2" s="135"/>
      <c r="B2" s="135"/>
      <c r="C2" s="135"/>
      <c r="D2" s="135"/>
      <c r="E2" s="135"/>
      <c r="F2" s="135"/>
      <c r="G2" s="135"/>
      <c r="H2" s="135"/>
      <c r="I2" s="135"/>
      <c r="J2" s="135"/>
      <c r="K2" s="135"/>
      <c r="L2" s="135"/>
      <c r="M2" s="135"/>
      <c r="N2" s="135"/>
      <c r="O2" s="135"/>
      <c r="P2" s="135"/>
      <c r="Q2" s="135"/>
      <c r="R2" s="135"/>
      <c r="S2" s="135"/>
      <c r="T2" s="135"/>
      <c r="U2" s="135"/>
      <c r="V2" s="135"/>
      <c r="W2" s="135"/>
      <c r="X2" s="135"/>
      <c r="Y2" s="135"/>
      <c r="Z2" s="135"/>
      <c r="AA2" s="135"/>
    </row>
    <row r="3" spans="1:34">
      <c r="A3" s="135"/>
      <c r="B3" s="135"/>
      <c r="C3" s="135"/>
      <c r="D3" s="135"/>
      <c r="E3" s="135"/>
      <c r="F3" s="135"/>
      <c r="G3" s="135"/>
      <c r="H3" s="135"/>
      <c r="I3" s="135"/>
      <c r="J3" s="135"/>
      <c r="K3" s="135"/>
      <c r="L3" s="135"/>
      <c r="M3" s="135"/>
      <c r="N3" s="135"/>
      <c r="O3" s="135"/>
      <c r="P3" s="135"/>
      <c r="Q3" s="135"/>
      <c r="R3" s="135"/>
      <c r="S3" s="135"/>
      <c r="T3" s="135"/>
      <c r="U3" s="135"/>
      <c r="V3" s="126"/>
      <c r="W3" s="126"/>
      <c r="X3" s="126"/>
      <c r="Y3" s="126"/>
      <c r="Z3" s="126"/>
      <c r="AA3" s="135"/>
    </row>
    <row r="4" spans="1:34" ht="15.75">
      <c r="A4" s="135"/>
      <c r="B4" s="135"/>
      <c r="C4" s="135"/>
      <c r="D4" s="135"/>
      <c r="E4" s="135"/>
      <c r="F4" s="135"/>
      <c r="G4" s="135"/>
      <c r="H4" s="135"/>
      <c r="I4" s="135"/>
      <c r="J4" s="135"/>
      <c r="K4" s="135"/>
      <c r="L4" s="135"/>
      <c r="M4" s="135"/>
      <c r="N4" s="135"/>
      <c r="O4" s="135"/>
      <c r="P4" s="135"/>
      <c r="Q4" s="135"/>
      <c r="R4" s="135"/>
      <c r="S4" s="135"/>
      <c r="T4" s="135"/>
      <c r="U4" s="136"/>
      <c r="V4" s="863" t="s">
        <v>6</v>
      </c>
      <c r="W4" s="864"/>
      <c r="X4" s="760" t="str">
        <f>Cover!$F$18</f>
        <v>ELM-803-FS-0001</v>
      </c>
      <c r="Y4" s="760"/>
      <c r="Z4" s="761"/>
      <c r="AA4" s="135"/>
    </row>
    <row r="5" spans="1:34" ht="15.75">
      <c r="A5" s="135"/>
      <c r="B5" s="135"/>
      <c r="C5" s="135"/>
      <c r="D5" s="135"/>
      <c r="E5" s="135"/>
      <c r="F5" s="135"/>
      <c r="G5" s="135"/>
      <c r="H5" s="135"/>
      <c r="I5" s="135"/>
      <c r="J5" s="135"/>
      <c r="K5" s="135"/>
      <c r="L5" s="135"/>
      <c r="M5" s="135"/>
      <c r="N5" s="135"/>
      <c r="O5" s="135"/>
      <c r="P5" s="135"/>
      <c r="Q5" s="135"/>
      <c r="R5" s="135"/>
      <c r="S5" s="135"/>
      <c r="T5" s="135"/>
      <c r="U5" s="136"/>
      <c r="V5" s="865" t="s">
        <v>7</v>
      </c>
      <c r="W5" s="819"/>
      <c r="X5" s="762" t="str">
        <f>Cover!$F$19</f>
        <v>Safety Manager</v>
      </c>
      <c r="Y5" s="762"/>
      <c r="Z5" s="40" t="str">
        <f>Cover!$G$19</f>
        <v>I. Kök</v>
      </c>
      <c r="AA5" s="135"/>
    </row>
    <row r="6" spans="1:34" ht="15.75">
      <c r="A6" s="135"/>
      <c r="B6" s="135"/>
      <c r="C6" s="135"/>
      <c r="D6" s="135"/>
      <c r="E6" s="135"/>
      <c r="F6" s="135"/>
      <c r="G6" s="135"/>
      <c r="H6" s="135"/>
      <c r="I6" s="135"/>
      <c r="J6" s="135"/>
      <c r="K6" s="135"/>
      <c r="L6" s="135"/>
      <c r="M6" s="135"/>
      <c r="N6" s="135"/>
      <c r="O6" s="135"/>
      <c r="P6" s="135"/>
      <c r="Q6" s="135"/>
      <c r="R6" s="135"/>
      <c r="S6" s="135"/>
      <c r="T6" s="135"/>
      <c r="U6" s="136"/>
      <c r="V6" s="865" t="s">
        <v>8</v>
      </c>
      <c r="W6" s="819"/>
      <c r="X6" s="762" t="str">
        <f>Cover!$F$20</f>
        <v>B2</v>
      </c>
      <c r="Y6" s="762"/>
      <c r="Z6" s="763"/>
      <c r="AA6" s="135"/>
    </row>
    <row r="7" spans="1:34" ht="15.75">
      <c r="A7" s="135"/>
      <c r="B7" s="135"/>
      <c r="C7" s="135"/>
      <c r="D7" s="135"/>
      <c r="E7" s="135"/>
      <c r="F7" s="135"/>
      <c r="G7" s="135"/>
      <c r="H7" s="135"/>
      <c r="I7" s="135"/>
      <c r="J7" s="135"/>
      <c r="K7" s="135"/>
      <c r="L7" s="135"/>
      <c r="M7" s="135"/>
      <c r="N7" s="135"/>
      <c r="O7" s="135"/>
      <c r="P7" s="135"/>
      <c r="Q7" s="135"/>
      <c r="R7" s="135"/>
      <c r="S7" s="135"/>
      <c r="T7" s="135"/>
      <c r="U7" s="136"/>
      <c r="V7" s="866" t="s">
        <v>9</v>
      </c>
      <c r="W7" s="867"/>
      <c r="X7" s="764" t="str">
        <f>Cover!$F$21</f>
        <v>approved after review</v>
      </c>
      <c r="Y7" s="764"/>
      <c r="Z7" s="765"/>
      <c r="AA7" s="135"/>
    </row>
    <row r="8" spans="1:34">
      <c r="A8" s="135"/>
      <c r="B8" s="135"/>
      <c r="C8" s="135"/>
      <c r="D8" s="135"/>
      <c r="E8" s="135"/>
      <c r="F8" s="135"/>
      <c r="G8" s="135"/>
      <c r="H8" s="135"/>
      <c r="I8" s="135"/>
      <c r="J8" s="135"/>
      <c r="K8" s="135"/>
      <c r="L8" s="135"/>
      <c r="M8" s="135"/>
      <c r="N8" s="135"/>
      <c r="O8" s="135"/>
      <c r="P8" s="135"/>
      <c r="Q8" s="135"/>
      <c r="R8" s="135"/>
      <c r="S8" s="135"/>
      <c r="T8" s="135"/>
      <c r="U8" s="135"/>
      <c r="V8" s="137"/>
      <c r="W8" s="137"/>
      <c r="X8" s="137"/>
      <c r="Y8" s="137"/>
      <c r="Z8" s="137"/>
      <c r="AA8" s="135"/>
    </row>
    <row r="9" spans="1:34" s="138" customFormat="1" ht="46.5">
      <c r="A9" s="933" t="s">
        <v>22</v>
      </c>
      <c r="B9" s="933"/>
      <c r="C9" s="933"/>
      <c r="D9" s="933"/>
      <c r="E9" s="933"/>
      <c r="F9" s="933"/>
      <c r="G9" s="933"/>
      <c r="H9" s="933"/>
      <c r="I9" s="933"/>
      <c r="J9" s="933"/>
      <c r="K9" s="933"/>
      <c r="L9" s="933"/>
      <c r="M9" s="933"/>
      <c r="N9" s="933"/>
      <c r="O9" s="933"/>
      <c r="P9" s="933"/>
      <c r="Q9" s="933"/>
      <c r="R9" s="933"/>
      <c r="S9" s="933"/>
      <c r="T9" s="933"/>
      <c r="U9" s="933"/>
      <c r="V9" s="933"/>
      <c r="W9" s="933"/>
      <c r="X9" s="933"/>
      <c r="Y9" s="933"/>
      <c r="Z9" s="933"/>
      <c r="AA9" s="933"/>
      <c r="AB9" s="124"/>
      <c r="AC9" s="124"/>
      <c r="AD9" s="124"/>
      <c r="AE9" s="124"/>
      <c r="AF9" s="124"/>
      <c r="AG9" s="124"/>
      <c r="AH9" s="124"/>
    </row>
    <row r="10" spans="1:34">
      <c r="A10" s="126"/>
      <c r="B10" s="126"/>
      <c r="C10" s="126"/>
      <c r="D10" s="126"/>
      <c r="E10" s="126"/>
      <c r="F10" s="126"/>
      <c r="G10" s="126"/>
      <c r="H10" s="126"/>
      <c r="I10" s="126"/>
      <c r="J10" s="126"/>
      <c r="K10" s="126"/>
      <c r="L10" s="126"/>
      <c r="M10" s="126"/>
      <c r="N10" s="126"/>
      <c r="O10" s="126"/>
      <c r="P10" s="126"/>
      <c r="Q10" s="126"/>
      <c r="R10" s="126"/>
      <c r="S10" s="126"/>
      <c r="T10" s="126"/>
      <c r="U10" s="126"/>
      <c r="V10" s="126"/>
      <c r="W10" s="126"/>
      <c r="X10" s="126"/>
      <c r="Y10" s="126"/>
      <c r="Z10" s="126"/>
      <c r="AA10" s="127"/>
      <c r="AB10" s="139"/>
      <c r="AC10" s="139"/>
      <c r="AD10" s="139"/>
      <c r="AE10" s="139"/>
      <c r="AF10" s="139"/>
      <c r="AG10" s="139"/>
      <c r="AH10" s="139"/>
    </row>
    <row r="11" spans="1:34" s="138" customFormat="1" ht="36">
      <c r="A11" s="921" t="str">
        <f>Cover!A9</f>
        <v>ID803 - Vega</v>
      </c>
      <c r="B11" s="922"/>
      <c r="C11" s="922"/>
      <c r="D11" s="922"/>
      <c r="E11" s="922"/>
      <c r="F11" s="922"/>
      <c r="G11" s="922"/>
      <c r="H11" s="922"/>
      <c r="I11" s="922"/>
      <c r="J11" s="922"/>
      <c r="K11" s="922"/>
      <c r="L11" s="922"/>
      <c r="M11" s="922"/>
      <c r="N11" s="922"/>
      <c r="O11" s="922"/>
      <c r="P11" s="922"/>
      <c r="Q11" s="922"/>
      <c r="R11" s="922"/>
      <c r="S11" s="922"/>
      <c r="T11" s="922"/>
      <c r="U11" s="922"/>
      <c r="V11" s="922"/>
      <c r="W11" s="922"/>
      <c r="X11" s="922"/>
      <c r="Y11" s="922"/>
      <c r="Z11" s="922"/>
      <c r="AA11" s="922"/>
      <c r="AB11" s="129"/>
      <c r="AC11" s="129"/>
      <c r="AD11" s="129"/>
      <c r="AE11" s="129"/>
      <c r="AF11" s="129"/>
      <c r="AG11" s="129"/>
      <c r="AH11" s="129"/>
    </row>
    <row r="12" spans="1:34">
      <c r="A12" s="135"/>
      <c r="B12" s="135"/>
      <c r="C12" s="135" t="s">
        <v>1065</v>
      </c>
      <c r="D12" s="135"/>
      <c r="E12" s="135"/>
      <c r="F12" s="135"/>
      <c r="G12" s="135"/>
      <c r="H12" s="135"/>
      <c r="I12" s="135"/>
      <c r="J12" s="135"/>
      <c r="K12" s="135"/>
      <c r="L12" s="135"/>
      <c r="M12" s="135"/>
      <c r="N12" s="135"/>
      <c r="O12" s="135"/>
      <c r="P12" s="135"/>
      <c r="Q12" s="135"/>
      <c r="R12" s="135"/>
      <c r="S12" s="135"/>
      <c r="T12" s="135"/>
      <c r="U12" s="135"/>
      <c r="V12" s="135"/>
      <c r="W12" s="135"/>
      <c r="X12" s="135"/>
      <c r="Y12" s="135"/>
      <c r="Z12" s="135"/>
      <c r="AA12" s="135"/>
    </row>
    <row r="13" spans="1:34">
      <c r="A13" s="135"/>
      <c r="B13" s="135"/>
      <c r="C13" s="135"/>
      <c r="D13" s="135"/>
      <c r="E13" s="135"/>
      <c r="F13" s="135"/>
      <c r="G13" s="126"/>
      <c r="H13" s="126"/>
      <c r="I13" s="135"/>
      <c r="J13" s="135"/>
      <c r="K13" s="135"/>
      <c r="L13" s="135"/>
      <c r="M13" s="135"/>
      <c r="N13" s="135"/>
      <c r="O13" s="135"/>
      <c r="P13" s="135"/>
      <c r="Q13" s="135"/>
      <c r="R13" s="135"/>
      <c r="S13" s="135"/>
      <c r="T13" s="135"/>
      <c r="U13" s="135"/>
      <c r="V13" s="135"/>
      <c r="W13" s="135"/>
      <c r="X13" s="135"/>
      <c r="Y13" s="135"/>
      <c r="Z13" s="135"/>
      <c r="AA13" s="135"/>
    </row>
    <row r="14" spans="1:34">
      <c r="A14" s="135"/>
      <c r="B14" s="126"/>
      <c r="C14" s="126"/>
      <c r="D14" s="126"/>
      <c r="E14" s="126"/>
      <c r="F14" s="136"/>
      <c r="G14" s="131" t="s">
        <v>204</v>
      </c>
      <c r="H14" s="131">
        <f>SUM(M22:M69)</f>
        <v>2.4414577193997591</v>
      </c>
      <c r="I14" s="141"/>
      <c r="J14" s="135"/>
      <c r="K14" s="135"/>
      <c r="L14" s="135"/>
      <c r="M14" s="135"/>
      <c r="N14" s="135"/>
      <c r="O14" s="135"/>
      <c r="P14" s="135"/>
      <c r="Q14" s="135"/>
      <c r="R14" s="135"/>
      <c r="S14" s="135"/>
      <c r="T14" s="135"/>
      <c r="U14" s="135"/>
      <c r="V14" s="135"/>
      <c r="W14" s="135"/>
      <c r="X14" s="135"/>
      <c r="Y14" s="135"/>
      <c r="Z14" s="135"/>
      <c r="AA14" s="135"/>
    </row>
    <row r="15" spans="1:34">
      <c r="A15" s="136"/>
      <c r="B15" s="939" t="s">
        <v>520</v>
      </c>
      <c r="C15" s="939"/>
      <c r="D15" s="939"/>
      <c r="E15" s="131">
        <f>'Core Block FIT rate'!G22/3</f>
        <v>2.4414577193997604</v>
      </c>
      <c r="F15" s="142"/>
      <c r="G15" s="131" t="s">
        <v>205</v>
      </c>
      <c r="H15" s="131">
        <f>SUM(R22:R69)</f>
        <v>6.6122813233743499E-2</v>
      </c>
      <c r="I15" s="141"/>
      <c r="J15" s="135"/>
      <c r="K15" s="135"/>
      <c r="L15" s="135"/>
      <c r="M15" s="135"/>
      <c r="N15" s="135"/>
      <c r="O15" s="135"/>
      <c r="P15" s="135"/>
      <c r="Q15" s="135"/>
      <c r="R15" s="135"/>
      <c r="S15" s="135"/>
      <c r="T15" s="135"/>
      <c r="U15" s="135"/>
      <c r="V15" s="135"/>
      <c r="W15" s="135"/>
      <c r="X15" s="135"/>
      <c r="Y15" s="135"/>
      <c r="Z15" s="135"/>
      <c r="AA15" s="135"/>
    </row>
    <row r="16" spans="1:34">
      <c r="A16" s="136"/>
      <c r="B16" s="939" t="s">
        <v>646</v>
      </c>
      <c r="C16" s="939"/>
      <c r="D16" s="939"/>
      <c r="E16" s="131">
        <f>'PAD(PSP))'!E16</f>
        <v>48</v>
      </c>
      <c r="F16" s="142"/>
      <c r="G16" s="131" t="s">
        <v>206</v>
      </c>
      <c r="H16" s="131">
        <f>SUM(X22:X69)</f>
        <v>0.25238569174295017</v>
      </c>
      <c r="I16" s="141"/>
      <c r="J16" s="135"/>
      <c r="K16" s="135"/>
      <c r="L16" s="135"/>
      <c r="M16" s="135"/>
      <c r="N16" s="135"/>
      <c r="O16" s="135"/>
      <c r="P16" s="135"/>
      <c r="Q16" s="135"/>
      <c r="R16" s="135"/>
      <c r="S16" s="135"/>
      <c r="T16" s="135"/>
      <c r="U16" s="135"/>
      <c r="V16" s="135"/>
      <c r="W16" s="135"/>
      <c r="X16" s="135"/>
      <c r="Y16" s="135"/>
      <c r="Z16" s="135"/>
      <c r="AA16" s="135"/>
    </row>
    <row r="17" spans="1:27">
      <c r="A17" s="135"/>
      <c r="B17" s="137"/>
      <c r="C17" s="137"/>
      <c r="D17" s="137"/>
      <c r="E17" s="137"/>
      <c r="F17" s="135"/>
      <c r="G17" s="137"/>
      <c r="H17" s="137"/>
      <c r="I17" s="135"/>
      <c r="J17" s="135"/>
      <c r="K17" s="135"/>
      <c r="L17" s="135"/>
      <c r="M17" s="135"/>
      <c r="N17" s="135"/>
      <c r="O17" s="135"/>
      <c r="P17" s="135"/>
      <c r="Q17" s="135"/>
      <c r="R17" s="135"/>
      <c r="S17" s="135"/>
      <c r="T17" s="135"/>
      <c r="U17" s="135"/>
      <c r="V17" s="135"/>
      <c r="W17" s="135"/>
      <c r="X17" s="135"/>
      <c r="Y17" s="135"/>
      <c r="Z17" s="135"/>
      <c r="AA17" s="135"/>
    </row>
    <row r="18" spans="1:27">
      <c r="A18" s="135"/>
      <c r="B18" s="135"/>
      <c r="C18" s="126"/>
      <c r="D18" s="126"/>
      <c r="E18" s="135"/>
      <c r="F18" s="135"/>
      <c r="G18" s="135"/>
      <c r="H18" s="135"/>
      <c r="I18" s="135"/>
      <c r="J18" s="135"/>
      <c r="K18" s="935" t="s">
        <v>140</v>
      </c>
      <c r="L18" s="935"/>
      <c r="M18" s="935"/>
      <c r="N18" s="935"/>
      <c r="O18" s="935"/>
      <c r="P18" s="935"/>
      <c r="Q18" s="935"/>
      <c r="R18" s="935"/>
      <c r="S18" s="935"/>
      <c r="T18" s="935"/>
      <c r="U18" s="935"/>
      <c r="V18" s="935"/>
      <c r="W18" s="935"/>
      <c r="X18" s="935"/>
      <c r="Y18" s="135"/>
      <c r="Z18" s="135"/>
      <c r="AA18" s="135"/>
    </row>
    <row r="19" spans="1:27" ht="15.75" thickBot="1">
      <c r="A19" s="135"/>
      <c r="B19" s="127"/>
      <c r="C19" s="943" t="s">
        <v>141</v>
      </c>
      <c r="D19" s="944"/>
      <c r="E19" s="437"/>
      <c r="F19" s="126"/>
      <c r="G19" s="126"/>
      <c r="H19" s="126"/>
      <c r="I19" s="126"/>
      <c r="J19" s="135"/>
      <c r="K19" s="937" t="s">
        <v>142</v>
      </c>
      <c r="L19" s="938"/>
      <c r="M19" s="938"/>
      <c r="N19" s="938"/>
      <c r="O19" s="938"/>
      <c r="P19" s="938"/>
      <c r="Q19" s="938"/>
      <c r="R19" s="938"/>
      <c r="S19" s="135"/>
      <c r="T19" s="937" t="s">
        <v>207</v>
      </c>
      <c r="U19" s="937"/>
      <c r="V19" s="937"/>
      <c r="W19" s="937"/>
      <c r="X19" s="937"/>
      <c r="Y19" s="135"/>
      <c r="Z19" s="135"/>
      <c r="AA19" s="135"/>
    </row>
    <row r="20" spans="1:27" ht="54.75" thickBot="1">
      <c r="A20" s="136"/>
      <c r="B20" s="458" t="s">
        <v>559</v>
      </c>
      <c r="C20" s="459" t="s">
        <v>208</v>
      </c>
      <c r="D20" s="459" t="s">
        <v>560</v>
      </c>
      <c r="E20" s="459" t="s">
        <v>548</v>
      </c>
      <c r="F20" s="459" t="s">
        <v>549</v>
      </c>
      <c r="G20" s="459" t="s">
        <v>629</v>
      </c>
      <c r="H20" s="444" t="s">
        <v>535</v>
      </c>
      <c r="I20" s="445" t="s">
        <v>576</v>
      </c>
      <c r="J20" s="136"/>
      <c r="K20" s="458" t="s">
        <v>550</v>
      </c>
      <c r="L20" s="459" t="s">
        <v>551</v>
      </c>
      <c r="M20" s="459" t="s">
        <v>552</v>
      </c>
      <c r="N20" s="459" t="s">
        <v>553</v>
      </c>
      <c r="O20" s="459" t="s">
        <v>554</v>
      </c>
      <c r="P20" s="459" t="s">
        <v>555</v>
      </c>
      <c r="Q20" s="459" t="s">
        <v>1072</v>
      </c>
      <c r="R20" s="460" t="s">
        <v>1073</v>
      </c>
      <c r="S20" s="142" t="s">
        <v>68</v>
      </c>
      <c r="T20" s="458" t="s">
        <v>556</v>
      </c>
      <c r="U20" s="459" t="s">
        <v>554</v>
      </c>
      <c r="V20" s="459" t="s">
        <v>555</v>
      </c>
      <c r="W20" s="459" t="s">
        <v>1074</v>
      </c>
      <c r="X20" s="460" t="s">
        <v>561</v>
      </c>
      <c r="Y20" s="141"/>
      <c r="Z20" s="934" t="s">
        <v>562</v>
      </c>
      <c r="AA20" s="135"/>
    </row>
    <row r="21" spans="1:27" s="143" customFormat="1" ht="162" thickBot="1">
      <c r="A21" s="136"/>
      <c r="B21" s="476" t="s">
        <v>209</v>
      </c>
      <c r="C21" s="477" t="s">
        <v>210</v>
      </c>
      <c r="D21" s="477" t="s">
        <v>274</v>
      </c>
      <c r="E21" s="477" t="s">
        <v>211</v>
      </c>
      <c r="F21" s="477" t="s">
        <v>640</v>
      </c>
      <c r="G21" s="477" t="s">
        <v>212</v>
      </c>
      <c r="H21" s="477" t="s">
        <v>213</v>
      </c>
      <c r="I21" s="480" t="s">
        <v>1175</v>
      </c>
      <c r="J21" s="142"/>
      <c r="K21" s="478" t="s">
        <v>5</v>
      </c>
      <c r="L21" s="479" t="s">
        <v>0</v>
      </c>
      <c r="M21" s="479" t="s">
        <v>637</v>
      </c>
      <c r="N21" s="479" t="s">
        <v>643</v>
      </c>
      <c r="O21" s="479" t="s">
        <v>214</v>
      </c>
      <c r="P21" s="479" t="s">
        <v>215</v>
      </c>
      <c r="Q21" s="479" t="s">
        <v>152</v>
      </c>
      <c r="R21" s="480" t="s">
        <v>635</v>
      </c>
      <c r="S21" s="142"/>
      <c r="T21" s="478" t="s">
        <v>216</v>
      </c>
      <c r="U21" s="479" t="s">
        <v>217</v>
      </c>
      <c r="V21" s="479" t="s">
        <v>218</v>
      </c>
      <c r="W21" s="479" t="s">
        <v>3</v>
      </c>
      <c r="X21" s="480" t="s">
        <v>638</v>
      </c>
      <c r="Y21" s="141"/>
      <c r="Z21" s="934"/>
      <c r="AA21" s="135"/>
    </row>
    <row r="22" spans="1:27">
      <c r="A22" s="136"/>
      <c r="B22" s="689" t="s">
        <v>219</v>
      </c>
      <c r="C22" s="690">
        <v>1</v>
      </c>
      <c r="D22" s="691" t="s">
        <v>890</v>
      </c>
      <c r="E22" s="655"/>
      <c r="F22" s="655">
        <f>$E$15/$E$16</f>
        <v>5.0863702487495006E-2</v>
      </c>
      <c r="G22" s="691" t="s">
        <v>1172</v>
      </c>
      <c r="H22" s="655" t="s">
        <v>1327</v>
      </c>
      <c r="I22" s="692" t="s">
        <v>884</v>
      </c>
      <c r="J22" s="142"/>
      <c r="K22" s="657">
        <v>1</v>
      </c>
      <c r="L22" s="728" t="s">
        <v>1035</v>
      </c>
      <c r="M22" s="695">
        <f t="shared" ref="M22:M25" si="0">F22*K22</f>
        <v>5.0863702487495006E-2</v>
      </c>
      <c r="N22" s="728">
        <f>IF(L22="N",100%,0%)</f>
        <v>0</v>
      </c>
      <c r="O22" s="691" t="s">
        <v>1182</v>
      </c>
      <c r="P22" s="695"/>
      <c r="Q22" s="696">
        <v>0.99</v>
      </c>
      <c r="R22" s="710">
        <f t="shared" ref="R22:R25" si="1">IF(L22="N",0,M22*(1-N22)*(1-Q22))</f>
        <v>5.0863702487495056E-4</v>
      </c>
      <c r="S22" s="142"/>
      <c r="T22" s="694" t="str">
        <f>L22</f>
        <v>Y</v>
      </c>
      <c r="U22" s="691" t="str">
        <f>O22</f>
        <v>SM05 SM06</v>
      </c>
      <c r="V22" s="695"/>
      <c r="W22" s="696">
        <v>0.8</v>
      </c>
      <c r="X22" s="660">
        <f t="shared" ref="X22:X25" si="2">IF(T22="N",0,(M22*(1-N22)-R22)*(1-W22))</f>
        <v>1.0071013092524009E-2</v>
      </c>
      <c r="Y22" s="141"/>
      <c r="Z22" s="517" t="s">
        <v>1190</v>
      </c>
      <c r="AA22" s="135"/>
    </row>
    <row r="23" spans="1:27">
      <c r="A23" s="136"/>
      <c r="B23" s="697" t="s">
        <v>220</v>
      </c>
      <c r="C23" s="131">
        <v>2</v>
      </c>
      <c r="D23" s="670" t="s">
        <v>891</v>
      </c>
      <c r="E23" s="663"/>
      <c r="F23" s="663">
        <f t="shared" ref="F23:F69" si="3">$E$15/$E$16</f>
        <v>5.0863702487495006E-2</v>
      </c>
      <c r="G23" s="663" t="s">
        <v>1172</v>
      </c>
      <c r="H23" s="663" t="s">
        <v>1327</v>
      </c>
      <c r="I23" s="677" t="s">
        <v>884</v>
      </c>
      <c r="J23" s="142"/>
      <c r="K23" s="665">
        <v>1</v>
      </c>
      <c r="L23" s="671" t="s">
        <v>1035</v>
      </c>
      <c r="M23" s="530">
        <f t="shared" si="0"/>
        <v>5.0863702487495006E-2</v>
      </c>
      <c r="N23" s="671">
        <f t="shared" ref="N23:N25" si="4">IF(L23="N",100%,0%)</f>
        <v>0</v>
      </c>
      <c r="O23" s="693" t="s">
        <v>1182</v>
      </c>
      <c r="P23" s="530"/>
      <c r="Q23" s="673">
        <v>0.99</v>
      </c>
      <c r="R23" s="674">
        <f t="shared" si="1"/>
        <v>5.0863702487495056E-4</v>
      </c>
      <c r="S23" s="142"/>
      <c r="T23" s="698" t="str">
        <f t="shared" ref="T23:T25" si="5">L23</f>
        <v>Y</v>
      </c>
      <c r="U23" s="670" t="str">
        <f>O23</f>
        <v>SM05 SM06</v>
      </c>
      <c r="V23" s="530"/>
      <c r="W23" s="673">
        <v>0.8</v>
      </c>
      <c r="X23" s="668">
        <f t="shared" si="2"/>
        <v>1.0071013092524009E-2</v>
      </c>
      <c r="Y23" s="141"/>
      <c r="Z23" s="517" t="s">
        <v>1191</v>
      </c>
      <c r="AA23" s="135"/>
    </row>
    <row r="24" spans="1:27">
      <c r="A24" s="136"/>
      <c r="B24" s="697" t="s">
        <v>221</v>
      </c>
      <c r="C24" s="131">
        <v>3</v>
      </c>
      <c r="D24" s="670" t="s">
        <v>892</v>
      </c>
      <c r="E24" s="663"/>
      <c r="F24" s="663">
        <f t="shared" si="3"/>
        <v>5.0863702487495006E-2</v>
      </c>
      <c r="G24" s="663" t="s">
        <v>1172</v>
      </c>
      <c r="H24" s="663" t="s">
        <v>1327</v>
      </c>
      <c r="I24" s="677" t="s">
        <v>884</v>
      </c>
      <c r="J24" s="142"/>
      <c r="K24" s="665">
        <v>1</v>
      </c>
      <c r="L24" s="671" t="s">
        <v>1035</v>
      </c>
      <c r="M24" s="530">
        <f t="shared" si="0"/>
        <v>5.0863702487495006E-2</v>
      </c>
      <c r="N24" s="671">
        <f t="shared" si="4"/>
        <v>0</v>
      </c>
      <c r="O24" s="693" t="s">
        <v>1182</v>
      </c>
      <c r="P24" s="530"/>
      <c r="Q24" s="673">
        <v>0.99</v>
      </c>
      <c r="R24" s="674">
        <f t="shared" si="1"/>
        <v>5.0863702487495056E-4</v>
      </c>
      <c r="S24" s="142"/>
      <c r="T24" s="698" t="str">
        <f t="shared" si="5"/>
        <v>Y</v>
      </c>
      <c r="U24" s="670" t="str">
        <f t="shared" ref="U24:U68" si="6">O24</f>
        <v>SM05 SM06</v>
      </c>
      <c r="V24" s="530"/>
      <c r="W24" s="673">
        <v>0.8</v>
      </c>
      <c r="X24" s="668">
        <f t="shared" si="2"/>
        <v>1.0071013092524009E-2</v>
      </c>
      <c r="Y24" s="141"/>
      <c r="Z24" s="517" t="s">
        <v>1191</v>
      </c>
      <c r="AA24" s="135"/>
    </row>
    <row r="25" spans="1:27">
      <c r="A25" s="136"/>
      <c r="B25" s="697" t="s">
        <v>222</v>
      </c>
      <c r="C25" s="131">
        <v>4</v>
      </c>
      <c r="D25" s="670" t="s">
        <v>893</v>
      </c>
      <c r="E25" s="663"/>
      <c r="F25" s="663">
        <f t="shared" si="3"/>
        <v>5.0863702487495006E-2</v>
      </c>
      <c r="G25" s="663" t="s">
        <v>1172</v>
      </c>
      <c r="H25" s="663" t="s">
        <v>1327</v>
      </c>
      <c r="I25" s="677" t="s">
        <v>884</v>
      </c>
      <c r="J25" s="142"/>
      <c r="K25" s="665">
        <v>1</v>
      </c>
      <c r="L25" s="671" t="s">
        <v>1035</v>
      </c>
      <c r="M25" s="530">
        <f t="shared" si="0"/>
        <v>5.0863702487495006E-2</v>
      </c>
      <c r="N25" s="671">
        <f t="shared" si="4"/>
        <v>0</v>
      </c>
      <c r="O25" s="693" t="s">
        <v>1182</v>
      </c>
      <c r="P25" s="530"/>
      <c r="Q25" s="673">
        <v>0.99</v>
      </c>
      <c r="R25" s="674">
        <f t="shared" si="1"/>
        <v>5.0863702487495056E-4</v>
      </c>
      <c r="S25" s="142"/>
      <c r="T25" s="698" t="str">
        <f t="shared" si="5"/>
        <v>Y</v>
      </c>
      <c r="U25" s="670" t="str">
        <f t="shared" si="6"/>
        <v>SM05 SM06</v>
      </c>
      <c r="V25" s="530"/>
      <c r="W25" s="673">
        <v>0.8</v>
      </c>
      <c r="X25" s="668">
        <f t="shared" si="2"/>
        <v>1.0071013092524009E-2</v>
      </c>
      <c r="Y25" s="141"/>
      <c r="Z25" s="517" t="s">
        <v>1191</v>
      </c>
      <c r="AA25" s="135"/>
    </row>
    <row r="26" spans="1:27">
      <c r="A26" s="136"/>
      <c r="B26" s="697" t="s">
        <v>223</v>
      </c>
      <c r="C26" s="131">
        <v>5</v>
      </c>
      <c r="D26" s="670" t="s">
        <v>894</v>
      </c>
      <c r="E26" s="663"/>
      <c r="F26" s="663">
        <f t="shared" si="3"/>
        <v>5.0863702487495006E-2</v>
      </c>
      <c r="G26" s="670" t="s">
        <v>1171</v>
      </c>
      <c r="H26" s="663" t="s">
        <v>1242</v>
      </c>
      <c r="I26" s="677" t="s">
        <v>1037</v>
      </c>
      <c r="J26" s="142"/>
      <c r="K26" s="665">
        <v>1</v>
      </c>
      <c r="L26" s="671" t="s">
        <v>78</v>
      </c>
      <c r="M26" s="530">
        <f t="shared" ref="M26" si="7">F26*K26</f>
        <v>5.0863702487495006E-2</v>
      </c>
      <c r="N26" s="671">
        <f t="shared" ref="N26" si="8">IF(L26="N",100%,0%)</f>
        <v>1</v>
      </c>
      <c r="O26" s="672" t="s">
        <v>857</v>
      </c>
      <c r="P26" s="530"/>
      <c r="Q26" s="673"/>
      <c r="R26" s="674"/>
      <c r="S26" s="142"/>
      <c r="T26" s="675" t="str">
        <f t="shared" ref="T26:T69" si="9">L26</f>
        <v>N</v>
      </c>
      <c r="U26" s="670" t="str">
        <f t="shared" si="6"/>
        <v/>
      </c>
      <c r="V26" s="530"/>
      <c r="W26" s="671"/>
      <c r="X26" s="668"/>
      <c r="Y26" s="141"/>
      <c r="Z26" s="132"/>
      <c r="AA26" s="135"/>
    </row>
    <row r="27" spans="1:27">
      <c r="A27" s="136"/>
      <c r="B27" s="697" t="s">
        <v>224</v>
      </c>
      <c r="C27" s="131">
        <v>6</v>
      </c>
      <c r="D27" s="670" t="s">
        <v>895</v>
      </c>
      <c r="E27" s="663"/>
      <c r="F27" s="663">
        <f t="shared" si="3"/>
        <v>5.0863702487495006E-2</v>
      </c>
      <c r="G27" s="670" t="s">
        <v>1171</v>
      </c>
      <c r="H27" s="663" t="s">
        <v>1242</v>
      </c>
      <c r="I27" s="677" t="s">
        <v>1037</v>
      </c>
      <c r="J27" s="142"/>
      <c r="K27" s="665">
        <v>1</v>
      </c>
      <c r="L27" s="671" t="s">
        <v>78</v>
      </c>
      <c r="M27" s="530">
        <f t="shared" ref="M27:M55" si="10">F27*K27</f>
        <v>5.0863702487495006E-2</v>
      </c>
      <c r="N27" s="671">
        <f t="shared" ref="N27:N69" si="11">IF(L27="N",100%,0%)</f>
        <v>1</v>
      </c>
      <c r="O27" s="672" t="s">
        <v>857</v>
      </c>
      <c r="P27" s="530"/>
      <c r="Q27" s="673"/>
      <c r="R27" s="674"/>
      <c r="S27" s="142"/>
      <c r="T27" s="675" t="str">
        <f t="shared" si="9"/>
        <v>N</v>
      </c>
      <c r="U27" s="670" t="str">
        <f t="shared" si="6"/>
        <v/>
      </c>
      <c r="V27" s="530"/>
      <c r="W27" s="673"/>
      <c r="X27" s="668"/>
      <c r="Y27" s="141"/>
      <c r="Z27" s="132"/>
      <c r="AA27" s="135"/>
    </row>
    <row r="28" spans="1:27">
      <c r="A28" s="136"/>
      <c r="B28" s="697" t="s">
        <v>225</v>
      </c>
      <c r="C28" s="131">
        <v>7</v>
      </c>
      <c r="D28" s="670" t="s">
        <v>896</v>
      </c>
      <c r="E28" s="663"/>
      <c r="F28" s="663">
        <f t="shared" si="3"/>
        <v>5.0863702487495006E-2</v>
      </c>
      <c r="G28" s="670" t="s">
        <v>1209</v>
      </c>
      <c r="H28" s="663" t="s">
        <v>1242</v>
      </c>
      <c r="I28" s="677" t="s">
        <v>1037</v>
      </c>
      <c r="J28" s="142"/>
      <c r="K28" s="665">
        <v>1</v>
      </c>
      <c r="L28" s="671" t="s">
        <v>78</v>
      </c>
      <c r="M28" s="530">
        <f t="shared" si="10"/>
        <v>5.0863702487495006E-2</v>
      </c>
      <c r="N28" s="671">
        <f t="shared" si="11"/>
        <v>1</v>
      </c>
      <c r="O28" s="672" t="s">
        <v>857</v>
      </c>
      <c r="P28" s="530"/>
      <c r="Q28" s="673"/>
      <c r="R28" s="674"/>
      <c r="S28" s="142"/>
      <c r="T28" s="675" t="str">
        <f t="shared" si="9"/>
        <v>N</v>
      </c>
      <c r="U28" s="670" t="str">
        <f t="shared" si="6"/>
        <v/>
      </c>
      <c r="V28" s="530"/>
      <c r="W28" s="673"/>
      <c r="X28" s="668"/>
      <c r="Y28" s="141"/>
      <c r="Z28" s="132"/>
      <c r="AA28" s="135"/>
    </row>
    <row r="29" spans="1:27" collapsed="1">
      <c r="A29" s="136"/>
      <c r="B29" s="697" t="s">
        <v>226</v>
      </c>
      <c r="C29" s="131">
        <v>8</v>
      </c>
      <c r="D29" s="670" t="s">
        <v>897</v>
      </c>
      <c r="E29" s="663"/>
      <c r="F29" s="663">
        <f t="shared" si="3"/>
        <v>5.0863702487495006E-2</v>
      </c>
      <c r="G29" s="670" t="s">
        <v>1177</v>
      </c>
      <c r="H29" s="663" t="s">
        <v>1400</v>
      </c>
      <c r="I29" s="677" t="s">
        <v>1037</v>
      </c>
      <c r="J29" s="142"/>
      <c r="K29" s="665">
        <v>1</v>
      </c>
      <c r="L29" s="671" t="s">
        <v>78</v>
      </c>
      <c r="M29" s="530">
        <f t="shared" si="10"/>
        <v>5.0863702487495006E-2</v>
      </c>
      <c r="N29" s="671">
        <f t="shared" si="11"/>
        <v>1</v>
      </c>
      <c r="O29" s="672" t="s">
        <v>857</v>
      </c>
      <c r="P29" s="530"/>
      <c r="Q29" s="673"/>
      <c r="R29" s="674"/>
      <c r="S29" s="142"/>
      <c r="T29" s="675" t="str">
        <f t="shared" si="9"/>
        <v>N</v>
      </c>
      <c r="U29" s="670" t="str">
        <f t="shared" si="6"/>
        <v/>
      </c>
      <c r="V29" s="530"/>
      <c r="W29" s="673"/>
      <c r="X29" s="668"/>
      <c r="Y29" s="141"/>
      <c r="Z29" s="132"/>
      <c r="AA29" s="135"/>
    </row>
    <row r="30" spans="1:27">
      <c r="A30" s="136"/>
      <c r="B30" s="697" t="s">
        <v>227</v>
      </c>
      <c r="C30" s="131">
        <v>9</v>
      </c>
      <c r="D30" s="670" t="s">
        <v>898</v>
      </c>
      <c r="E30" s="663"/>
      <c r="F30" s="663">
        <f t="shared" si="3"/>
        <v>5.0863702487495006E-2</v>
      </c>
      <c r="G30" s="670" t="s">
        <v>1185</v>
      </c>
      <c r="H30" s="663" t="s">
        <v>1242</v>
      </c>
      <c r="I30" s="677" t="s">
        <v>1037</v>
      </c>
      <c r="J30" s="142"/>
      <c r="K30" s="665">
        <v>1</v>
      </c>
      <c r="L30" s="671" t="s">
        <v>78</v>
      </c>
      <c r="M30" s="530">
        <f t="shared" si="10"/>
        <v>5.0863702487495006E-2</v>
      </c>
      <c r="N30" s="671">
        <f t="shared" si="11"/>
        <v>1</v>
      </c>
      <c r="O30" s="672" t="s">
        <v>857</v>
      </c>
      <c r="P30" s="530"/>
      <c r="Q30" s="673"/>
      <c r="R30" s="674"/>
      <c r="S30" s="142"/>
      <c r="T30" s="675" t="str">
        <f t="shared" si="9"/>
        <v>N</v>
      </c>
      <c r="U30" s="670" t="str">
        <f t="shared" si="6"/>
        <v/>
      </c>
      <c r="V30" s="530"/>
      <c r="W30" s="673"/>
      <c r="X30" s="668"/>
      <c r="Y30" s="141"/>
      <c r="Z30" s="132"/>
      <c r="AA30" s="135"/>
    </row>
    <row r="31" spans="1:27" ht="15.75">
      <c r="A31" s="136"/>
      <c r="B31" s="697" t="s">
        <v>228</v>
      </c>
      <c r="C31" s="131">
        <v>10</v>
      </c>
      <c r="D31" s="670" t="s">
        <v>899</v>
      </c>
      <c r="E31" s="663"/>
      <c r="F31" s="663">
        <f t="shared" si="3"/>
        <v>5.0863702487495006E-2</v>
      </c>
      <c r="G31" s="670" t="s">
        <v>1173</v>
      </c>
      <c r="H31" s="676" t="s">
        <v>1288</v>
      </c>
      <c r="I31" s="677" t="s">
        <v>884</v>
      </c>
      <c r="J31" s="142"/>
      <c r="K31" s="665">
        <v>1</v>
      </c>
      <c r="L31" s="671" t="s">
        <v>1035</v>
      </c>
      <c r="M31" s="530">
        <f t="shared" ref="M31" si="12">F31*K31</f>
        <v>5.0863702487495006E-2</v>
      </c>
      <c r="N31" s="671">
        <f t="shared" ref="N31" si="13">IF(L31="N",100%,0%)</f>
        <v>0</v>
      </c>
      <c r="O31" s="666" t="s">
        <v>1200</v>
      </c>
      <c r="P31" s="666"/>
      <c r="Q31" s="666">
        <v>0.99</v>
      </c>
      <c r="R31" s="668">
        <f t="shared" ref="R31" si="14">IF(L31="N",0,M31*(1-N31)*(1-Q31))</f>
        <v>5.0863702487495056E-4</v>
      </c>
      <c r="S31" s="142"/>
      <c r="T31" s="678" t="str">
        <f t="shared" ref="T31" si="15">L31</f>
        <v>Y</v>
      </c>
      <c r="U31" s="670" t="str">
        <f t="shared" si="6"/>
        <v>SM01 SM15 SM16 SM22</v>
      </c>
      <c r="V31" s="530"/>
      <c r="W31" s="666">
        <v>1</v>
      </c>
      <c r="X31" s="674">
        <f t="shared" ref="X31" si="16">IF(T31="N",0,(M31*(1-N31)-R31)*(1-W31))</f>
        <v>0</v>
      </c>
      <c r="Y31" s="141"/>
      <c r="Z31" s="507" t="s">
        <v>1214</v>
      </c>
      <c r="AA31" s="135"/>
    </row>
    <row r="32" spans="1:27">
      <c r="A32" s="136"/>
      <c r="B32" s="697" t="s">
        <v>229</v>
      </c>
      <c r="C32" s="131">
        <v>11</v>
      </c>
      <c r="D32" s="670" t="s">
        <v>900</v>
      </c>
      <c r="E32" s="663"/>
      <c r="F32" s="663">
        <f t="shared" si="3"/>
        <v>5.0863702487495006E-2</v>
      </c>
      <c r="G32" s="670" t="s">
        <v>1185</v>
      </c>
      <c r="H32" s="663" t="s">
        <v>1242</v>
      </c>
      <c r="I32" s="677" t="s">
        <v>1037</v>
      </c>
      <c r="J32" s="142"/>
      <c r="K32" s="665">
        <v>1</v>
      </c>
      <c r="L32" s="671" t="s">
        <v>78</v>
      </c>
      <c r="M32" s="530">
        <f t="shared" si="10"/>
        <v>5.0863702487495006E-2</v>
      </c>
      <c r="N32" s="671">
        <f t="shared" si="11"/>
        <v>1</v>
      </c>
      <c r="O32" s="672" t="s">
        <v>857</v>
      </c>
      <c r="P32" s="530"/>
      <c r="Q32" s="673"/>
      <c r="R32" s="674"/>
      <c r="S32" s="142"/>
      <c r="T32" s="675" t="str">
        <f t="shared" si="9"/>
        <v>N</v>
      </c>
      <c r="U32" s="670" t="str">
        <f t="shared" si="6"/>
        <v/>
      </c>
      <c r="V32" s="530"/>
      <c r="W32" s="673"/>
      <c r="X32" s="668"/>
      <c r="Y32" s="141"/>
      <c r="Z32" s="132"/>
      <c r="AA32" s="135"/>
    </row>
    <row r="33" spans="1:27">
      <c r="A33" s="136"/>
      <c r="B33" s="697" t="s">
        <v>230</v>
      </c>
      <c r="C33" s="131">
        <v>12</v>
      </c>
      <c r="D33" s="670" t="s">
        <v>901</v>
      </c>
      <c r="E33" s="663"/>
      <c r="F33" s="663">
        <f t="shared" si="3"/>
        <v>5.0863702487495006E-2</v>
      </c>
      <c r="G33" s="663" t="s">
        <v>1192</v>
      </c>
      <c r="H33" s="676" t="s">
        <v>1401</v>
      </c>
      <c r="I33" s="677" t="s">
        <v>884</v>
      </c>
      <c r="J33" s="142"/>
      <c r="K33" s="665">
        <v>1</v>
      </c>
      <c r="L33" s="671" t="s">
        <v>1035</v>
      </c>
      <c r="M33" s="530">
        <f t="shared" si="10"/>
        <v>5.0863702487495006E-2</v>
      </c>
      <c r="N33" s="671">
        <f t="shared" si="11"/>
        <v>0</v>
      </c>
      <c r="O33" s="666" t="s">
        <v>1187</v>
      </c>
      <c r="P33" s="530"/>
      <c r="Q33" s="673">
        <v>0.99</v>
      </c>
      <c r="R33" s="674">
        <f t="shared" ref="R33:R66" si="17">IF(L33="N",0,M33*(1-N33)*(1-Q33))</f>
        <v>5.0863702487495056E-4</v>
      </c>
      <c r="S33" s="142"/>
      <c r="T33" s="675" t="str">
        <f t="shared" si="9"/>
        <v>Y</v>
      </c>
      <c r="U33" s="670" t="str">
        <f t="shared" si="6"/>
        <v>SM09 SM10 SM13</v>
      </c>
      <c r="V33" s="530"/>
      <c r="W33" s="673">
        <v>1</v>
      </c>
      <c r="X33" s="668">
        <f t="shared" ref="X33:X35" si="18">IF(T33="N",0,(M33*(1-N33)-R33)*(1-W33))</f>
        <v>0</v>
      </c>
      <c r="Y33" s="141"/>
      <c r="Z33" s="132" t="s">
        <v>1189</v>
      </c>
      <c r="AA33" s="135"/>
    </row>
    <row r="34" spans="1:27" ht="15.75">
      <c r="A34" s="136"/>
      <c r="B34" s="697" t="s">
        <v>231</v>
      </c>
      <c r="C34" s="131">
        <v>13</v>
      </c>
      <c r="D34" s="670" t="s">
        <v>902</v>
      </c>
      <c r="E34" s="663"/>
      <c r="F34" s="663">
        <f t="shared" si="3"/>
        <v>5.0863702487495006E-2</v>
      </c>
      <c r="G34" s="670" t="s">
        <v>1173</v>
      </c>
      <c r="H34" s="676" t="s">
        <v>1288</v>
      </c>
      <c r="I34" s="677" t="s">
        <v>884</v>
      </c>
      <c r="J34" s="142"/>
      <c r="K34" s="665">
        <v>1</v>
      </c>
      <c r="L34" s="671" t="s">
        <v>1035</v>
      </c>
      <c r="M34" s="530">
        <f t="shared" si="10"/>
        <v>5.0863702487495006E-2</v>
      </c>
      <c r="N34" s="671">
        <f t="shared" si="11"/>
        <v>0</v>
      </c>
      <c r="O34" s="666" t="s">
        <v>1200</v>
      </c>
      <c r="P34" s="666"/>
      <c r="Q34" s="666">
        <v>0.99</v>
      </c>
      <c r="R34" s="668">
        <f t="shared" si="17"/>
        <v>5.0863702487495056E-4</v>
      </c>
      <c r="S34" s="142"/>
      <c r="T34" s="678" t="str">
        <f t="shared" si="9"/>
        <v>Y</v>
      </c>
      <c r="U34" s="670" t="str">
        <f t="shared" si="6"/>
        <v>SM01 SM15 SM16 SM22</v>
      </c>
      <c r="V34" s="530"/>
      <c r="W34" s="666">
        <v>1</v>
      </c>
      <c r="X34" s="674">
        <f t="shared" si="18"/>
        <v>0</v>
      </c>
      <c r="Y34" s="141"/>
      <c r="Z34" s="507" t="s">
        <v>1204</v>
      </c>
      <c r="AA34" s="135"/>
    </row>
    <row r="35" spans="1:27">
      <c r="A35" s="136"/>
      <c r="B35" s="697" t="s">
        <v>232</v>
      </c>
      <c r="C35" s="131">
        <v>14</v>
      </c>
      <c r="D35" s="670" t="s">
        <v>903</v>
      </c>
      <c r="E35" s="663"/>
      <c r="F35" s="663">
        <f t="shared" si="3"/>
        <v>5.0863702487495006E-2</v>
      </c>
      <c r="G35" s="663" t="s">
        <v>1398</v>
      </c>
      <c r="H35" s="663" t="s">
        <v>1398</v>
      </c>
      <c r="I35" s="664" t="s">
        <v>884</v>
      </c>
      <c r="J35" s="142"/>
      <c r="K35" s="665">
        <v>1</v>
      </c>
      <c r="L35" s="671" t="s">
        <v>1035</v>
      </c>
      <c r="M35" s="530">
        <f t="shared" si="10"/>
        <v>5.0863702487495006E-2</v>
      </c>
      <c r="N35" s="671">
        <f t="shared" si="11"/>
        <v>0</v>
      </c>
      <c r="O35" s="670" t="s">
        <v>1053</v>
      </c>
      <c r="P35" s="530"/>
      <c r="Q35" s="673">
        <v>0.6</v>
      </c>
      <c r="R35" s="674">
        <f t="shared" si="17"/>
        <v>2.0345480994998003E-2</v>
      </c>
      <c r="S35" s="142"/>
      <c r="T35" s="675" t="str">
        <f t="shared" si="9"/>
        <v>Y</v>
      </c>
      <c r="U35" s="666"/>
      <c r="V35" s="530"/>
      <c r="W35" s="673">
        <v>0</v>
      </c>
      <c r="X35" s="668">
        <f t="shared" si="18"/>
        <v>3.0518221492497003E-2</v>
      </c>
      <c r="Y35" s="141"/>
      <c r="Z35" s="132"/>
      <c r="AA35" s="135"/>
    </row>
    <row r="36" spans="1:27">
      <c r="A36" s="136"/>
      <c r="B36" s="697" t="s">
        <v>233</v>
      </c>
      <c r="C36" s="131">
        <v>15</v>
      </c>
      <c r="D36" s="670" t="s">
        <v>904</v>
      </c>
      <c r="E36" s="663"/>
      <c r="F36" s="663">
        <f t="shared" si="3"/>
        <v>5.0863702487495006E-2</v>
      </c>
      <c r="G36" s="663" t="s">
        <v>1192</v>
      </c>
      <c r="H36" s="663" t="s">
        <v>1401</v>
      </c>
      <c r="I36" s="677" t="s">
        <v>884</v>
      </c>
      <c r="J36" s="142"/>
      <c r="K36" s="665">
        <v>1</v>
      </c>
      <c r="L36" s="671" t="s">
        <v>1035</v>
      </c>
      <c r="M36" s="530">
        <f t="shared" si="10"/>
        <v>5.0863702487495006E-2</v>
      </c>
      <c r="N36" s="671">
        <f t="shared" si="11"/>
        <v>0</v>
      </c>
      <c r="O36" s="666" t="s">
        <v>1187</v>
      </c>
      <c r="P36" s="530"/>
      <c r="Q36" s="673">
        <v>0.99</v>
      </c>
      <c r="R36" s="674">
        <f t="shared" si="17"/>
        <v>5.0863702487495056E-4</v>
      </c>
      <c r="S36" s="142"/>
      <c r="T36" s="675" t="str">
        <f t="shared" si="9"/>
        <v>Y</v>
      </c>
      <c r="U36" s="670" t="str">
        <f t="shared" si="6"/>
        <v>SM09 SM10 SM13</v>
      </c>
      <c r="V36" s="530"/>
      <c r="W36" s="673">
        <v>1</v>
      </c>
      <c r="X36" s="668">
        <f t="shared" ref="X36:X66" si="19">IF(T36="N",0,(M36*(1-N36)-R36)*(1-W36))</f>
        <v>0</v>
      </c>
      <c r="Y36" s="141"/>
      <c r="Z36" s="132" t="s">
        <v>1189</v>
      </c>
      <c r="AA36" s="135"/>
    </row>
    <row r="37" spans="1:27">
      <c r="A37" s="136"/>
      <c r="B37" s="697" t="s">
        <v>234</v>
      </c>
      <c r="C37" s="131">
        <v>16</v>
      </c>
      <c r="D37" s="670" t="s">
        <v>905</v>
      </c>
      <c r="E37" s="663"/>
      <c r="F37" s="663">
        <f t="shared" si="3"/>
        <v>5.0863702487495006E-2</v>
      </c>
      <c r="G37" s="670" t="s">
        <v>1184</v>
      </c>
      <c r="H37" s="663" t="s">
        <v>1242</v>
      </c>
      <c r="I37" s="677" t="s">
        <v>1037</v>
      </c>
      <c r="J37" s="142"/>
      <c r="K37" s="665">
        <v>1</v>
      </c>
      <c r="L37" s="671" t="s">
        <v>78</v>
      </c>
      <c r="M37" s="530">
        <f t="shared" si="10"/>
        <v>5.0863702487495006E-2</v>
      </c>
      <c r="N37" s="671">
        <f t="shared" si="11"/>
        <v>1</v>
      </c>
      <c r="O37" s="672" t="s">
        <v>857</v>
      </c>
      <c r="P37" s="530"/>
      <c r="Q37" s="673"/>
      <c r="R37" s="674"/>
      <c r="S37" s="142"/>
      <c r="T37" s="675" t="str">
        <f t="shared" si="9"/>
        <v>N</v>
      </c>
      <c r="U37" s="670" t="str">
        <f t="shared" si="6"/>
        <v/>
      </c>
      <c r="V37" s="530"/>
      <c r="W37" s="673"/>
      <c r="X37" s="668"/>
      <c r="Y37" s="141"/>
      <c r="Z37" s="132"/>
      <c r="AA37" s="135"/>
    </row>
    <row r="38" spans="1:27">
      <c r="A38" s="136"/>
      <c r="B38" s="697" t="s">
        <v>235</v>
      </c>
      <c r="C38" s="131">
        <v>17</v>
      </c>
      <c r="D38" s="670" t="s">
        <v>906</v>
      </c>
      <c r="E38" s="663"/>
      <c r="F38" s="663">
        <f t="shared" si="3"/>
        <v>5.0863702487495006E-2</v>
      </c>
      <c r="G38" s="663" t="s">
        <v>1192</v>
      </c>
      <c r="H38" s="663" t="s">
        <v>1401</v>
      </c>
      <c r="I38" s="677" t="s">
        <v>884</v>
      </c>
      <c r="J38" s="142"/>
      <c r="K38" s="665">
        <v>1</v>
      </c>
      <c r="L38" s="671" t="s">
        <v>1035</v>
      </c>
      <c r="M38" s="530">
        <f t="shared" si="10"/>
        <v>5.0863702487495006E-2</v>
      </c>
      <c r="N38" s="671">
        <f t="shared" si="11"/>
        <v>0</v>
      </c>
      <c r="O38" s="666" t="s">
        <v>1187</v>
      </c>
      <c r="P38" s="530"/>
      <c r="Q38" s="673">
        <v>0.99</v>
      </c>
      <c r="R38" s="674">
        <f t="shared" si="17"/>
        <v>5.0863702487495056E-4</v>
      </c>
      <c r="S38" s="142"/>
      <c r="T38" s="675" t="str">
        <f t="shared" si="9"/>
        <v>Y</v>
      </c>
      <c r="U38" s="670" t="str">
        <f t="shared" si="6"/>
        <v>SM09 SM10 SM13</v>
      </c>
      <c r="V38" s="530"/>
      <c r="W38" s="673">
        <v>1</v>
      </c>
      <c r="X38" s="668">
        <f t="shared" si="19"/>
        <v>0</v>
      </c>
      <c r="Y38" s="141"/>
      <c r="Z38" s="940" t="s">
        <v>1188</v>
      </c>
      <c r="AA38" s="135"/>
    </row>
    <row r="39" spans="1:27">
      <c r="A39" s="136"/>
      <c r="B39" s="697" t="s">
        <v>236</v>
      </c>
      <c r="C39" s="131">
        <v>18</v>
      </c>
      <c r="D39" s="670" t="s">
        <v>904</v>
      </c>
      <c r="E39" s="663"/>
      <c r="F39" s="663">
        <f t="shared" si="3"/>
        <v>5.0863702487495006E-2</v>
      </c>
      <c r="G39" s="663" t="s">
        <v>1192</v>
      </c>
      <c r="H39" s="663" t="s">
        <v>1401</v>
      </c>
      <c r="I39" s="677" t="s">
        <v>884</v>
      </c>
      <c r="J39" s="142"/>
      <c r="K39" s="665">
        <v>1</v>
      </c>
      <c r="L39" s="671" t="s">
        <v>1035</v>
      </c>
      <c r="M39" s="530">
        <f t="shared" si="10"/>
        <v>5.0863702487495006E-2</v>
      </c>
      <c r="N39" s="671">
        <f t="shared" si="11"/>
        <v>0</v>
      </c>
      <c r="O39" s="666" t="s">
        <v>1187</v>
      </c>
      <c r="P39" s="530"/>
      <c r="Q39" s="673">
        <v>0.99</v>
      </c>
      <c r="R39" s="674">
        <f t="shared" si="17"/>
        <v>5.0863702487495056E-4</v>
      </c>
      <c r="S39" s="142"/>
      <c r="T39" s="675" t="str">
        <f t="shared" ref="T39:T41" si="20">L39</f>
        <v>Y</v>
      </c>
      <c r="U39" s="670" t="str">
        <f t="shared" si="6"/>
        <v>SM09 SM10 SM13</v>
      </c>
      <c r="V39" s="530"/>
      <c r="W39" s="673">
        <v>1</v>
      </c>
      <c r="X39" s="668">
        <f t="shared" ref="X39:X41" si="21">IF(T39="N",0,(M39*(1-N39)-R39)*(1-W39))</f>
        <v>0</v>
      </c>
      <c r="Y39" s="141"/>
      <c r="Z39" s="941"/>
      <c r="AA39" s="135"/>
    </row>
    <row r="40" spans="1:27">
      <c r="A40" s="136"/>
      <c r="B40" s="697" t="s">
        <v>237</v>
      </c>
      <c r="C40" s="131">
        <v>19</v>
      </c>
      <c r="D40" s="670" t="s">
        <v>907</v>
      </c>
      <c r="E40" s="663"/>
      <c r="F40" s="663">
        <f t="shared" si="3"/>
        <v>5.0863702487495006E-2</v>
      </c>
      <c r="G40" s="663" t="s">
        <v>1212</v>
      </c>
      <c r="H40" s="663" t="s">
        <v>1401</v>
      </c>
      <c r="I40" s="677" t="s">
        <v>884</v>
      </c>
      <c r="J40" s="142"/>
      <c r="K40" s="665">
        <v>1</v>
      </c>
      <c r="L40" s="671" t="s">
        <v>1035</v>
      </c>
      <c r="M40" s="530">
        <f t="shared" ref="M40" si="22">F40*K40</f>
        <v>5.0863702487495006E-2</v>
      </c>
      <c r="N40" s="671">
        <f t="shared" ref="N40" si="23">IF(L40="N",100%,0%)</f>
        <v>0</v>
      </c>
      <c r="O40" s="666" t="s">
        <v>1187</v>
      </c>
      <c r="P40" s="530"/>
      <c r="Q40" s="673">
        <v>0.99</v>
      </c>
      <c r="R40" s="674">
        <f t="shared" ref="R40" si="24">IF(L40="N",0,M40*(1-N40)*(1-Q40))</f>
        <v>5.0863702487495056E-4</v>
      </c>
      <c r="S40" s="142"/>
      <c r="T40" s="675" t="str">
        <f t="shared" si="20"/>
        <v>Y</v>
      </c>
      <c r="U40" s="670" t="str">
        <f t="shared" si="6"/>
        <v>SM09 SM10 SM13</v>
      </c>
      <c r="V40" s="530"/>
      <c r="W40" s="673">
        <v>1</v>
      </c>
      <c r="X40" s="668">
        <f t="shared" si="21"/>
        <v>0</v>
      </c>
      <c r="Y40" s="141"/>
      <c r="Z40" s="941"/>
      <c r="AA40" s="135"/>
    </row>
    <row r="41" spans="1:27">
      <c r="A41" s="136"/>
      <c r="B41" s="697" t="s">
        <v>238</v>
      </c>
      <c r="C41" s="131">
        <v>20</v>
      </c>
      <c r="D41" s="670" t="s">
        <v>908</v>
      </c>
      <c r="E41" s="663"/>
      <c r="F41" s="663">
        <f t="shared" si="3"/>
        <v>5.0863702487495006E-2</v>
      </c>
      <c r="G41" s="663" t="s">
        <v>1192</v>
      </c>
      <c r="H41" s="663" t="s">
        <v>1401</v>
      </c>
      <c r="I41" s="677" t="s">
        <v>884</v>
      </c>
      <c r="J41" s="142"/>
      <c r="K41" s="665">
        <v>1</v>
      </c>
      <c r="L41" s="671" t="s">
        <v>1035</v>
      </c>
      <c r="M41" s="530">
        <f t="shared" si="10"/>
        <v>5.0863702487495006E-2</v>
      </c>
      <c r="N41" s="671">
        <f t="shared" si="11"/>
        <v>0</v>
      </c>
      <c r="O41" s="666" t="s">
        <v>1187</v>
      </c>
      <c r="P41" s="530"/>
      <c r="Q41" s="673">
        <v>0.99</v>
      </c>
      <c r="R41" s="674">
        <f t="shared" si="17"/>
        <v>5.0863702487495056E-4</v>
      </c>
      <c r="S41" s="142"/>
      <c r="T41" s="675" t="str">
        <f t="shared" si="20"/>
        <v>Y</v>
      </c>
      <c r="U41" s="670" t="str">
        <f t="shared" si="6"/>
        <v>SM09 SM10 SM13</v>
      </c>
      <c r="V41" s="530"/>
      <c r="W41" s="673">
        <v>1</v>
      </c>
      <c r="X41" s="668">
        <f t="shared" si="21"/>
        <v>0</v>
      </c>
      <c r="Y41" s="141"/>
      <c r="Z41" s="942"/>
      <c r="AA41" s="135"/>
    </row>
    <row r="42" spans="1:27">
      <c r="A42" s="136"/>
      <c r="B42" s="697" t="s">
        <v>239</v>
      </c>
      <c r="C42" s="131">
        <v>21</v>
      </c>
      <c r="D42" s="670" t="s">
        <v>909</v>
      </c>
      <c r="E42" s="663"/>
      <c r="F42" s="663">
        <f t="shared" si="3"/>
        <v>5.0863702487495006E-2</v>
      </c>
      <c r="G42" s="670" t="s">
        <v>1184</v>
      </c>
      <c r="H42" s="663" t="s">
        <v>1242</v>
      </c>
      <c r="I42" s="677" t="s">
        <v>1037</v>
      </c>
      <c r="J42" s="142"/>
      <c r="K42" s="665">
        <v>1</v>
      </c>
      <c r="L42" s="671" t="s">
        <v>78</v>
      </c>
      <c r="M42" s="530">
        <f t="shared" si="10"/>
        <v>5.0863702487495006E-2</v>
      </c>
      <c r="N42" s="671">
        <f t="shared" si="11"/>
        <v>1</v>
      </c>
      <c r="O42" s="672" t="s">
        <v>857</v>
      </c>
      <c r="P42" s="530"/>
      <c r="Q42" s="673"/>
      <c r="R42" s="674"/>
      <c r="S42" s="142"/>
      <c r="T42" s="675" t="str">
        <f t="shared" si="9"/>
        <v>N</v>
      </c>
      <c r="U42" s="670" t="str">
        <f t="shared" si="6"/>
        <v/>
      </c>
      <c r="V42" s="530"/>
      <c r="W42" s="673"/>
      <c r="X42" s="668"/>
      <c r="Y42" s="141"/>
      <c r="Z42" s="132"/>
      <c r="AA42" s="135"/>
    </row>
    <row r="43" spans="1:27">
      <c r="A43" s="136"/>
      <c r="B43" s="697" t="s">
        <v>240</v>
      </c>
      <c r="C43" s="131">
        <v>22</v>
      </c>
      <c r="D43" s="670" t="s">
        <v>903</v>
      </c>
      <c r="E43" s="663"/>
      <c r="F43" s="663">
        <f t="shared" si="3"/>
        <v>5.0863702487495006E-2</v>
      </c>
      <c r="G43" s="663" t="s">
        <v>1398</v>
      </c>
      <c r="H43" s="663" t="s">
        <v>1398</v>
      </c>
      <c r="I43" s="664" t="s">
        <v>884</v>
      </c>
      <c r="J43" s="142"/>
      <c r="K43" s="665">
        <v>1</v>
      </c>
      <c r="L43" s="671" t="s">
        <v>1035</v>
      </c>
      <c r="M43" s="530">
        <f t="shared" si="10"/>
        <v>5.0863702487495006E-2</v>
      </c>
      <c r="N43" s="671">
        <f t="shared" si="11"/>
        <v>0</v>
      </c>
      <c r="O43" s="670" t="s">
        <v>1053</v>
      </c>
      <c r="P43" s="530"/>
      <c r="Q43" s="673">
        <v>0.6</v>
      </c>
      <c r="R43" s="674">
        <f t="shared" ref="R43" si="25">IF(L43="N",0,M43*(1-N43)*(1-Q43))</f>
        <v>2.0345480994998003E-2</v>
      </c>
      <c r="S43" s="142"/>
      <c r="T43" s="675" t="str">
        <f t="shared" si="9"/>
        <v>Y</v>
      </c>
      <c r="U43" s="666"/>
      <c r="V43" s="530"/>
      <c r="W43" s="673">
        <v>0</v>
      </c>
      <c r="X43" s="668">
        <f t="shared" ref="X43" si="26">IF(T43="N",0,(M43*(1-N43)-R43)*(1-W43))</f>
        <v>3.0518221492497003E-2</v>
      </c>
      <c r="Y43" s="141"/>
      <c r="Z43" s="132"/>
      <c r="AA43" s="135"/>
    </row>
    <row r="44" spans="1:27">
      <c r="A44" s="136"/>
      <c r="B44" s="697" t="s">
        <v>241</v>
      </c>
      <c r="C44" s="131">
        <v>23</v>
      </c>
      <c r="D44" s="670" t="s">
        <v>910</v>
      </c>
      <c r="E44" s="663"/>
      <c r="F44" s="663">
        <f t="shared" si="3"/>
        <v>5.0863702487495006E-2</v>
      </c>
      <c r="G44" s="670" t="s">
        <v>1209</v>
      </c>
      <c r="H44" s="663" t="s">
        <v>1242</v>
      </c>
      <c r="I44" s="677" t="s">
        <v>1037</v>
      </c>
      <c r="J44" s="142"/>
      <c r="K44" s="665">
        <v>1</v>
      </c>
      <c r="L44" s="671" t="s">
        <v>78</v>
      </c>
      <c r="M44" s="530">
        <f t="shared" si="10"/>
        <v>5.0863702487495006E-2</v>
      </c>
      <c r="N44" s="671">
        <f t="shared" si="11"/>
        <v>1</v>
      </c>
      <c r="O44" s="672" t="s">
        <v>857</v>
      </c>
      <c r="P44" s="530"/>
      <c r="Q44" s="673"/>
      <c r="R44" s="674"/>
      <c r="S44" s="142"/>
      <c r="T44" s="675" t="str">
        <f t="shared" si="9"/>
        <v>N</v>
      </c>
      <c r="U44" s="670" t="str">
        <f t="shared" si="6"/>
        <v/>
      </c>
      <c r="V44" s="530"/>
      <c r="W44" s="673"/>
      <c r="X44" s="668"/>
      <c r="Y44" s="141"/>
      <c r="Z44" s="132"/>
      <c r="AA44" s="135"/>
    </row>
    <row r="45" spans="1:27">
      <c r="A45" s="136"/>
      <c r="B45" s="697" t="s">
        <v>242</v>
      </c>
      <c r="C45" s="131">
        <v>24</v>
      </c>
      <c r="D45" s="670" t="s">
        <v>908</v>
      </c>
      <c r="E45" s="663"/>
      <c r="F45" s="663">
        <f t="shared" si="3"/>
        <v>5.0863702487495006E-2</v>
      </c>
      <c r="G45" s="663" t="s">
        <v>1192</v>
      </c>
      <c r="H45" s="663" t="s">
        <v>1401</v>
      </c>
      <c r="I45" s="677" t="s">
        <v>884</v>
      </c>
      <c r="J45" s="142"/>
      <c r="K45" s="665">
        <v>1</v>
      </c>
      <c r="L45" s="671" t="s">
        <v>1035</v>
      </c>
      <c r="M45" s="530">
        <f t="shared" si="10"/>
        <v>5.0863702487495006E-2</v>
      </c>
      <c r="N45" s="671">
        <f t="shared" si="11"/>
        <v>0</v>
      </c>
      <c r="O45" s="666" t="s">
        <v>1187</v>
      </c>
      <c r="P45" s="530"/>
      <c r="Q45" s="673">
        <v>0.99</v>
      </c>
      <c r="R45" s="674">
        <f t="shared" si="17"/>
        <v>5.0863702487495056E-4</v>
      </c>
      <c r="S45" s="142"/>
      <c r="T45" s="675" t="str">
        <f t="shared" si="9"/>
        <v>Y</v>
      </c>
      <c r="U45" s="670" t="str">
        <f t="shared" si="6"/>
        <v>SM09 SM10 SM13</v>
      </c>
      <c r="V45" s="530"/>
      <c r="W45" s="673">
        <v>1</v>
      </c>
      <c r="X45" s="668">
        <f t="shared" ref="X45:X55" si="27">IF(T45="N",0,(M45*(1-N45)-R45)*(1-W45))</f>
        <v>0</v>
      </c>
      <c r="Y45" s="141"/>
      <c r="Z45" s="132" t="s">
        <v>1189</v>
      </c>
      <c r="AA45" s="135"/>
    </row>
    <row r="46" spans="1:27">
      <c r="A46" s="136"/>
      <c r="B46" s="697" t="s">
        <v>243</v>
      </c>
      <c r="C46" s="131">
        <v>25</v>
      </c>
      <c r="D46" s="670" t="s">
        <v>911</v>
      </c>
      <c r="E46" s="663"/>
      <c r="F46" s="663">
        <f t="shared" si="3"/>
        <v>5.0863702487495006E-2</v>
      </c>
      <c r="G46" s="663" t="s">
        <v>1172</v>
      </c>
      <c r="H46" s="663" t="s">
        <v>1327</v>
      </c>
      <c r="I46" s="677" t="s">
        <v>884</v>
      </c>
      <c r="J46" s="142"/>
      <c r="K46" s="665">
        <v>1</v>
      </c>
      <c r="L46" s="671" t="s">
        <v>1035</v>
      </c>
      <c r="M46" s="530">
        <f t="shared" si="10"/>
        <v>5.0863702487495006E-2</v>
      </c>
      <c r="N46" s="671">
        <f t="shared" si="11"/>
        <v>0</v>
      </c>
      <c r="O46" s="693" t="s">
        <v>1182</v>
      </c>
      <c r="P46" s="530"/>
      <c r="Q46" s="673">
        <v>0.99</v>
      </c>
      <c r="R46" s="674">
        <f t="shared" si="17"/>
        <v>5.0863702487495056E-4</v>
      </c>
      <c r="S46" s="142"/>
      <c r="T46" s="698" t="str">
        <f t="shared" si="9"/>
        <v>Y</v>
      </c>
      <c r="U46" s="670" t="str">
        <f t="shared" si="6"/>
        <v>SM05 SM06</v>
      </c>
      <c r="V46" s="530"/>
      <c r="W46" s="673">
        <v>0.8</v>
      </c>
      <c r="X46" s="668">
        <f t="shared" si="27"/>
        <v>1.0071013092524009E-2</v>
      </c>
      <c r="Y46" s="141"/>
      <c r="Z46" s="517" t="s">
        <v>1191</v>
      </c>
      <c r="AA46" s="135"/>
    </row>
    <row r="47" spans="1:27">
      <c r="A47" s="136"/>
      <c r="B47" s="697" t="s">
        <v>244</v>
      </c>
      <c r="C47" s="131">
        <v>26</v>
      </c>
      <c r="D47" s="670" t="s">
        <v>912</v>
      </c>
      <c r="E47" s="663"/>
      <c r="F47" s="663">
        <f t="shared" si="3"/>
        <v>5.0863702487495006E-2</v>
      </c>
      <c r="G47" s="663" t="s">
        <v>1172</v>
      </c>
      <c r="H47" s="663" t="s">
        <v>1327</v>
      </c>
      <c r="I47" s="677" t="s">
        <v>884</v>
      </c>
      <c r="J47" s="142"/>
      <c r="K47" s="665">
        <v>1</v>
      </c>
      <c r="L47" s="671" t="s">
        <v>1035</v>
      </c>
      <c r="M47" s="530">
        <f t="shared" si="10"/>
        <v>5.0863702487495006E-2</v>
      </c>
      <c r="N47" s="671">
        <f t="shared" si="11"/>
        <v>0</v>
      </c>
      <c r="O47" s="693" t="s">
        <v>1182</v>
      </c>
      <c r="P47" s="530"/>
      <c r="Q47" s="673">
        <v>0.99</v>
      </c>
      <c r="R47" s="674">
        <f t="shared" si="17"/>
        <v>5.0863702487495056E-4</v>
      </c>
      <c r="S47" s="142"/>
      <c r="T47" s="698" t="str">
        <f t="shared" si="9"/>
        <v>Y</v>
      </c>
      <c r="U47" s="670" t="str">
        <f t="shared" si="6"/>
        <v>SM05 SM06</v>
      </c>
      <c r="V47" s="530"/>
      <c r="W47" s="673">
        <v>0.8</v>
      </c>
      <c r="X47" s="668">
        <f t="shared" si="27"/>
        <v>1.0071013092524009E-2</v>
      </c>
      <c r="Y47" s="141"/>
      <c r="Z47" s="517" t="s">
        <v>1191</v>
      </c>
      <c r="AA47" s="135"/>
    </row>
    <row r="48" spans="1:27">
      <c r="A48" s="136"/>
      <c r="B48" s="697" t="s">
        <v>245</v>
      </c>
      <c r="C48" s="131">
        <v>27</v>
      </c>
      <c r="D48" s="670" t="s">
        <v>913</v>
      </c>
      <c r="E48" s="663"/>
      <c r="F48" s="663">
        <f t="shared" si="3"/>
        <v>5.0863702487495006E-2</v>
      </c>
      <c r="G48" s="663" t="s">
        <v>1172</v>
      </c>
      <c r="H48" s="663" t="s">
        <v>1327</v>
      </c>
      <c r="I48" s="677" t="s">
        <v>884</v>
      </c>
      <c r="J48" s="142"/>
      <c r="K48" s="665">
        <v>1</v>
      </c>
      <c r="L48" s="671" t="s">
        <v>1035</v>
      </c>
      <c r="M48" s="530">
        <f t="shared" si="10"/>
        <v>5.0863702487495006E-2</v>
      </c>
      <c r="N48" s="671">
        <f t="shared" si="11"/>
        <v>0</v>
      </c>
      <c r="O48" s="693" t="s">
        <v>1182</v>
      </c>
      <c r="P48" s="530"/>
      <c r="Q48" s="673">
        <v>0.99</v>
      </c>
      <c r="R48" s="674">
        <f t="shared" si="17"/>
        <v>5.0863702487495056E-4</v>
      </c>
      <c r="S48" s="142"/>
      <c r="T48" s="698" t="str">
        <f t="shared" si="9"/>
        <v>Y</v>
      </c>
      <c r="U48" s="670" t="str">
        <f t="shared" si="6"/>
        <v>SM05 SM06</v>
      </c>
      <c r="V48" s="530"/>
      <c r="W48" s="673">
        <v>0.8</v>
      </c>
      <c r="X48" s="668">
        <f t="shared" si="27"/>
        <v>1.0071013092524009E-2</v>
      </c>
      <c r="Y48" s="141"/>
      <c r="Z48" s="517" t="s">
        <v>1191</v>
      </c>
      <c r="AA48" s="135"/>
    </row>
    <row r="49" spans="1:27">
      <c r="A49" s="136"/>
      <c r="B49" s="697" t="s">
        <v>246</v>
      </c>
      <c r="C49" s="131">
        <v>28</v>
      </c>
      <c r="D49" s="670" t="s">
        <v>914</v>
      </c>
      <c r="E49" s="663"/>
      <c r="F49" s="663">
        <f t="shared" si="3"/>
        <v>5.0863702487495006E-2</v>
      </c>
      <c r="G49" s="663" t="s">
        <v>1172</v>
      </c>
      <c r="H49" s="663" t="s">
        <v>1327</v>
      </c>
      <c r="I49" s="677" t="s">
        <v>884</v>
      </c>
      <c r="J49" s="142"/>
      <c r="K49" s="665">
        <v>1</v>
      </c>
      <c r="L49" s="671" t="s">
        <v>1035</v>
      </c>
      <c r="M49" s="530">
        <f t="shared" si="10"/>
        <v>5.0863702487495006E-2</v>
      </c>
      <c r="N49" s="671">
        <f t="shared" si="11"/>
        <v>0</v>
      </c>
      <c r="O49" s="693" t="s">
        <v>1182</v>
      </c>
      <c r="P49" s="530"/>
      <c r="Q49" s="673">
        <v>0.99</v>
      </c>
      <c r="R49" s="674">
        <f t="shared" si="17"/>
        <v>5.0863702487495056E-4</v>
      </c>
      <c r="S49" s="142"/>
      <c r="T49" s="698" t="str">
        <f t="shared" si="9"/>
        <v>Y</v>
      </c>
      <c r="U49" s="670" t="str">
        <f t="shared" si="6"/>
        <v>SM05 SM06</v>
      </c>
      <c r="V49" s="530"/>
      <c r="W49" s="673">
        <v>0.8</v>
      </c>
      <c r="X49" s="668">
        <f t="shared" si="27"/>
        <v>1.0071013092524009E-2</v>
      </c>
      <c r="Y49" s="141"/>
      <c r="Z49" s="517" t="s">
        <v>1191</v>
      </c>
      <c r="AA49" s="135"/>
    </row>
    <row r="50" spans="1:27">
      <c r="A50" s="136"/>
      <c r="B50" s="697" t="s">
        <v>247</v>
      </c>
      <c r="C50" s="131">
        <v>29</v>
      </c>
      <c r="D50" s="670" t="s">
        <v>915</v>
      </c>
      <c r="E50" s="663"/>
      <c r="F50" s="663">
        <f t="shared" si="3"/>
        <v>5.0863702487495006E-2</v>
      </c>
      <c r="G50" s="663" t="s">
        <v>1172</v>
      </c>
      <c r="H50" s="663" t="s">
        <v>1327</v>
      </c>
      <c r="I50" s="677" t="s">
        <v>884</v>
      </c>
      <c r="J50" s="142"/>
      <c r="K50" s="665">
        <v>1</v>
      </c>
      <c r="L50" s="671" t="s">
        <v>1035</v>
      </c>
      <c r="M50" s="530">
        <f t="shared" si="10"/>
        <v>5.0863702487495006E-2</v>
      </c>
      <c r="N50" s="671">
        <f t="shared" si="11"/>
        <v>0</v>
      </c>
      <c r="O50" s="693" t="s">
        <v>1182</v>
      </c>
      <c r="P50" s="530"/>
      <c r="Q50" s="673">
        <v>0.99</v>
      </c>
      <c r="R50" s="674">
        <f t="shared" si="17"/>
        <v>5.0863702487495056E-4</v>
      </c>
      <c r="S50" s="142"/>
      <c r="T50" s="698" t="str">
        <f t="shared" si="9"/>
        <v>Y</v>
      </c>
      <c r="U50" s="670" t="str">
        <f t="shared" si="6"/>
        <v>SM05 SM06</v>
      </c>
      <c r="V50" s="530"/>
      <c r="W50" s="673">
        <v>0.8</v>
      </c>
      <c r="X50" s="668">
        <f t="shared" si="27"/>
        <v>1.0071013092524009E-2</v>
      </c>
      <c r="Y50" s="141"/>
      <c r="Z50" s="517" t="s">
        <v>1191</v>
      </c>
      <c r="AA50" s="135"/>
    </row>
    <row r="51" spans="1:27">
      <c r="A51" s="136"/>
      <c r="B51" s="697" t="s">
        <v>248</v>
      </c>
      <c r="C51" s="131">
        <v>30</v>
      </c>
      <c r="D51" s="670" t="s">
        <v>916</v>
      </c>
      <c r="E51" s="663"/>
      <c r="F51" s="663">
        <f t="shared" si="3"/>
        <v>5.0863702487495006E-2</v>
      </c>
      <c r="G51" s="663" t="s">
        <v>1172</v>
      </c>
      <c r="H51" s="663" t="s">
        <v>1327</v>
      </c>
      <c r="I51" s="677" t="s">
        <v>884</v>
      </c>
      <c r="J51" s="142"/>
      <c r="K51" s="665">
        <v>1</v>
      </c>
      <c r="L51" s="671" t="s">
        <v>1035</v>
      </c>
      <c r="M51" s="530">
        <f t="shared" si="10"/>
        <v>5.0863702487495006E-2</v>
      </c>
      <c r="N51" s="671">
        <f t="shared" si="11"/>
        <v>0</v>
      </c>
      <c r="O51" s="693" t="s">
        <v>1182</v>
      </c>
      <c r="P51" s="530"/>
      <c r="Q51" s="673">
        <v>0.99</v>
      </c>
      <c r="R51" s="674">
        <f t="shared" si="17"/>
        <v>5.0863702487495056E-4</v>
      </c>
      <c r="S51" s="142"/>
      <c r="T51" s="698" t="str">
        <f t="shared" si="9"/>
        <v>Y</v>
      </c>
      <c r="U51" s="670" t="str">
        <f t="shared" si="6"/>
        <v>SM05 SM06</v>
      </c>
      <c r="V51" s="530"/>
      <c r="W51" s="673">
        <v>0.8</v>
      </c>
      <c r="X51" s="668">
        <f t="shared" si="27"/>
        <v>1.0071013092524009E-2</v>
      </c>
      <c r="Y51" s="141"/>
      <c r="Z51" s="517" t="s">
        <v>1191</v>
      </c>
      <c r="AA51" s="135"/>
    </row>
    <row r="52" spans="1:27">
      <c r="A52" s="136"/>
      <c r="B52" s="697" t="s">
        <v>249</v>
      </c>
      <c r="C52" s="131">
        <v>31</v>
      </c>
      <c r="D52" s="670" t="s">
        <v>917</v>
      </c>
      <c r="E52" s="663"/>
      <c r="F52" s="663">
        <f t="shared" si="3"/>
        <v>5.0863702487495006E-2</v>
      </c>
      <c r="G52" s="663" t="s">
        <v>1172</v>
      </c>
      <c r="H52" s="663" t="s">
        <v>1327</v>
      </c>
      <c r="I52" s="677" t="s">
        <v>884</v>
      </c>
      <c r="J52" s="142"/>
      <c r="K52" s="665">
        <v>1</v>
      </c>
      <c r="L52" s="671" t="s">
        <v>1035</v>
      </c>
      <c r="M52" s="530">
        <f t="shared" si="10"/>
        <v>5.0863702487495006E-2</v>
      </c>
      <c r="N52" s="671">
        <f t="shared" si="11"/>
        <v>0</v>
      </c>
      <c r="O52" s="693" t="s">
        <v>1182</v>
      </c>
      <c r="P52" s="530"/>
      <c r="Q52" s="673">
        <v>0.99</v>
      </c>
      <c r="R52" s="674">
        <f t="shared" si="17"/>
        <v>5.0863702487495056E-4</v>
      </c>
      <c r="S52" s="142"/>
      <c r="T52" s="698" t="str">
        <f t="shared" si="9"/>
        <v>Y</v>
      </c>
      <c r="U52" s="670" t="str">
        <f t="shared" si="6"/>
        <v>SM05 SM06</v>
      </c>
      <c r="V52" s="530"/>
      <c r="W52" s="673">
        <v>0.8</v>
      </c>
      <c r="X52" s="668">
        <f t="shared" si="27"/>
        <v>1.0071013092524009E-2</v>
      </c>
      <c r="Y52" s="141"/>
      <c r="Z52" s="517" t="s">
        <v>1191</v>
      </c>
      <c r="AA52" s="135"/>
    </row>
    <row r="53" spans="1:27">
      <c r="A53" s="136"/>
      <c r="B53" s="697" t="s">
        <v>250</v>
      </c>
      <c r="C53" s="131">
        <v>32</v>
      </c>
      <c r="D53" s="670" t="s">
        <v>918</v>
      </c>
      <c r="E53" s="663"/>
      <c r="F53" s="663">
        <f t="shared" si="3"/>
        <v>5.0863702487495006E-2</v>
      </c>
      <c r="G53" s="663" t="s">
        <v>1172</v>
      </c>
      <c r="H53" s="663" t="s">
        <v>1327</v>
      </c>
      <c r="I53" s="677" t="s">
        <v>884</v>
      </c>
      <c r="J53" s="142"/>
      <c r="K53" s="665">
        <v>1</v>
      </c>
      <c r="L53" s="671" t="s">
        <v>1035</v>
      </c>
      <c r="M53" s="530">
        <f t="shared" si="10"/>
        <v>5.0863702487495006E-2</v>
      </c>
      <c r="N53" s="671">
        <f t="shared" si="11"/>
        <v>0</v>
      </c>
      <c r="O53" s="693" t="s">
        <v>1182</v>
      </c>
      <c r="P53" s="530"/>
      <c r="Q53" s="673">
        <v>0.99</v>
      </c>
      <c r="R53" s="674">
        <f t="shared" si="17"/>
        <v>5.0863702487495056E-4</v>
      </c>
      <c r="S53" s="142"/>
      <c r="T53" s="698" t="str">
        <f t="shared" si="9"/>
        <v>Y</v>
      </c>
      <c r="U53" s="670" t="str">
        <f t="shared" si="6"/>
        <v>SM05 SM06</v>
      </c>
      <c r="V53" s="530"/>
      <c r="W53" s="673">
        <v>0.8</v>
      </c>
      <c r="X53" s="668">
        <f t="shared" si="27"/>
        <v>1.0071013092524009E-2</v>
      </c>
      <c r="Y53" s="141"/>
      <c r="Z53" s="517" t="s">
        <v>1191</v>
      </c>
      <c r="AA53" s="135"/>
    </row>
    <row r="54" spans="1:27">
      <c r="A54" s="136"/>
      <c r="B54" s="697" t="s">
        <v>251</v>
      </c>
      <c r="C54" s="131">
        <v>33</v>
      </c>
      <c r="D54" s="670" t="s">
        <v>919</v>
      </c>
      <c r="E54" s="663"/>
      <c r="F54" s="663">
        <f t="shared" si="3"/>
        <v>5.0863702487495006E-2</v>
      </c>
      <c r="G54" s="663" t="s">
        <v>1172</v>
      </c>
      <c r="H54" s="663" t="s">
        <v>1327</v>
      </c>
      <c r="I54" s="677" t="s">
        <v>884</v>
      </c>
      <c r="J54" s="142"/>
      <c r="K54" s="665">
        <v>1</v>
      </c>
      <c r="L54" s="671" t="s">
        <v>1035</v>
      </c>
      <c r="M54" s="530">
        <f t="shared" si="10"/>
        <v>5.0863702487495006E-2</v>
      </c>
      <c r="N54" s="671">
        <f t="shared" si="11"/>
        <v>0</v>
      </c>
      <c r="O54" s="693" t="s">
        <v>1182</v>
      </c>
      <c r="P54" s="530"/>
      <c r="Q54" s="673">
        <v>0.99</v>
      </c>
      <c r="R54" s="674">
        <f t="shared" si="17"/>
        <v>5.0863702487495056E-4</v>
      </c>
      <c r="S54" s="142"/>
      <c r="T54" s="698" t="str">
        <f t="shared" si="9"/>
        <v>Y</v>
      </c>
      <c r="U54" s="670" t="str">
        <f t="shared" si="6"/>
        <v>SM05 SM06</v>
      </c>
      <c r="V54" s="530"/>
      <c r="W54" s="673">
        <v>0.8</v>
      </c>
      <c r="X54" s="668">
        <f t="shared" si="27"/>
        <v>1.0071013092524009E-2</v>
      </c>
      <c r="Y54" s="141"/>
      <c r="Z54" s="517" t="s">
        <v>1191</v>
      </c>
      <c r="AA54" s="135"/>
    </row>
    <row r="55" spans="1:27">
      <c r="A55" s="136"/>
      <c r="B55" s="697" t="s">
        <v>252</v>
      </c>
      <c r="C55" s="131">
        <v>34</v>
      </c>
      <c r="D55" s="670" t="s">
        <v>920</v>
      </c>
      <c r="E55" s="663"/>
      <c r="F55" s="663">
        <f t="shared" si="3"/>
        <v>5.0863702487495006E-2</v>
      </c>
      <c r="G55" s="663" t="s">
        <v>1172</v>
      </c>
      <c r="H55" s="663" t="s">
        <v>1327</v>
      </c>
      <c r="I55" s="677" t="s">
        <v>884</v>
      </c>
      <c r="J55" s="142"/>
      <c r="K55" s="665">
        <v>1</v>
      </c>
      <c r="L55" s="671" t="s">
        <v>1035</v>
      </c>
      <c r="M55" s="530">
        <f t="shared" si="10"/>
        <v>5.0863702487495006E-2</v>
      </c>
      <c r="N55" s="671">
        <f t="shared" si="11"/>
        <v>0</v>
      </c>
      <c r="O55" s="693" t="s">
        <v>1182</v>
      </c>
      <c r="P55" s="530"/>
      <c r="Q55" s="673">
        <v>0.99</v>
      </c>
      <c r="R55" s="674">
        <f t="shared" si="17"/>
        <v>5.0863702487495056E-4</v>
      </c>
      <c r="S55" s="142"/>
      <c r="T55" s="698" t="str">
        <f t="shared" si="9"/>
        <v>Y</v>
      </c>
      <c r="U55" s="670" t="str">
        <f t="shared" si="6"/>
        <v>SM05 SM06</v>
      </c>
      <c r="V55" s="530"/>
      <c r="W55" s="673">
        <v>0.8</v>
      </c>
      <c r="X55" s="668">
        <f t="shared" si="27"/>
        <v>1.0071013092524009E-2</v>
      </c>
      <c r="Y55" s="141"/>
      <c r="Z55" s="517" t="s">
        <v>1191</v>
      </c>
      <c r="AA55" s="135"/>
    </row>
    <row r="56" spans="1:27">
      <c r="A56" s="136"/>
      <c r="B56" s="697" t="s">
        <v>253</v>
      </c>
      <c r="C56" s="131">
        <v>35</v>
      </c>
      <c r="D56" s="670" t="s">
        <v>921</v>
      </c>
      <c r="E56" s="663"/>
      <c r="F56" s="663">
        <f t="shared" si="3"/>
        <v>5.0863702487495006E-2</v>
      </c>
      <c r="G56" s="670" t="s">
        <v>1184</v>
      </c>
      <c r="H56" s="663" t="s">
        <v>1242</v>
      </c>
      <c r="I56" s="677" t="s">
        <v>1037</v>
      </c>
      <c r="J56" s="142"/>
      <c r="K56" s="665">
        <v>1</v>
      </c>
      <c r="L56" s="671" t="s">
        <v>1035</v>
      </c>
      <c r="M56" s="530">
        <f t="shared" ref="M56:M69" si="28">F56*K56</f>
        <v>5.0863702487495006E-2</v>
      </c>
      <c r="N56" s="671">
        <f t="shared" si="11"/>
        <v>0</v>
      </c>
      <c r="O56" s="672" t="s">
        <v>857</v>
      </c>
      <c r="P56" s="530"/>
      <c r="Q56" s="673"/>
      <c r="R56" s="674"/>
      <c r="S56" s="142"/>
      <c r="T56" s="675" t="str">
        <f t="shared" si="9"/>
        <v>Y</v>
      </c>
      <c r="U56" s="670" t="str">
        <f t="shared" si="6"/>
        <v/>
      </c>
      <c r="V56" s="530"/>
      <c r="W56" s="673"/>
      <c r="X56" s="668"/>
      <c r="Y56" s="141"/>
      <c r="Z56" s="132"/>
      <c r="AA56" s="135"/>
    </row>
    <row r="57" spans="1:27">
      <c r="A57" s="136"/>
      <c r="B57" s="697" t="s">
        <v>254</v>
      </c>
      <c r="C57" s="131">
        <v>36</v>
      </c>
      <c r="D57" s="670" t="s">
        <v>922</v>
      </c>
      <c r="E57" s="663"/>
      <c r="F57" s="663">
        <f t="shared" si="3"/>
        <v>5.0863702487495006E-2</v>
      </c>
      <c r="G57" s="670" t="s">
        <v>1184</v>
      </c>
      <c r="H57" s="663" t="s">
        <v>1242</v>
      </c>
      <c r="I57" s="677" t="s">
        <v>1037</v>
      </c>
      <c r="J57" s="142"/>
      <c r="K57" s="665">
        <v>1</v>
      </c>
      <c r="L57" s="671" t="s">
        <v>1035</v>
      </c>
      <c r="M57" s="530">
        <f t="shared" si="28"/>
        <v>5.0863702487495006E-2</v>
      </c>
      <c r="N57" s="671">
        <f t="shared" si="11"/>
        <v>0</v>
      </c>
      <c r="O57" s="672" t="s">
        <v>857</v>
      </c>
      <c r="P57" s="530"/>
      <c r="Q57" s="673"/>
      <c r="R57" s="674"/>
      <c r="S57" s="142"/>
      <c r="T57" s="675" t="str">
        <f t="shared" si="9"/>
        <v>Y</v>
      </c>
      <c r="U57" s="670" t="str">
        <f t="shared" si="6"/>
        <v/>
      </c>
      <c r="V57" s="530"/>
      <c r="W57" s="673"/>
      <c r="X57" s="668"/>
      <c r="Y57" s="141"/>
      <c r="Z57" s="132"/>
      <c r="AA57" s="135"/>
    </row>
    <row r="58" spans="1:27">
      <c r="A58" s="136"/>
      <c r="B58" s="697" t="s">
        <v>255</v>
      </c>
      <c r="C58" s="131">
        <v>37</v>
      </c>
      <c r="D58" s="670" t="s">
        <v>923</v>
      </c>
      <c r="E58" s="663"/>
      <c r="F58" s="663">
        <f t="shared" si="3"/>
        <v>5.0863702487495006E-2</v>
      </c>
      <c r="G58" s="663" t="s">
        <v>1172</v>
      </c>
      <c r="H58" s="663" t="s">
        <v>1327</v>
      </c>
      <c r="I58" s="677" t="s">
        <v>884</v>
      </c>
      <c r="J58" s="142"/>
      <c r="K58" s="665">
        <v>1</v>
      </c>
      <c r="L58" s="671" t="s">
        <v>1035</v>
      </c>
      <c r="M58" s="530">
        <f t="shared" si="28"/>
        <v>5.0863702487495006E-2</v>
      </c>
      <c r="N58" s="671">
        <f t="shared" si="11"/>
        <v>0</v>
      </c>
      <c r="O58" s="693" t="s">
        <v>1182</v>
      </c>
      <c r="P58" s="530"/>
      <c r="Q58" s="673">
        <v>0.99</v>
      </c>
      <c r="R58" s="674">
        <f t="shared" ref="R58" si="29">IF(L58="N",0,M58*(1-N58)*(1-Q58))</f>
        <v>5.0863702487495056E-4</v>
      </c>
      <c r="S58" s="142"/>
      <c r="T58" s="698" t="str">
        <f t="shared" si="9"/>
        <v>Y</v>
      </c>
      <c r="U58" s="670" t="str">
        <f t="shared" si="6"/>
        <v>SM05 SM06</v>
      </c>
      <c r="V58" s="530"/>
      <c r="W58" s="673">
        <v>0.8</v>
      </c>
      <c r="X58" s="668">
        <f t="shared" ref="X58" si="30">IF(T58="N",0,(M58*(1-N58)-R58)*(1-W58))</f>
        <v>1.0071013092524009E-2</v>
      </c>
      <c r="Y58" s="141"/>
      <c r="Z58" s="517" t="s">
        <v>1191</v>
      </c>
      <c r="AA58" s="135"/>
    </row>
    <row r="59" spans="1:27">
      <c r="A59" s="136"/>
      <c r="B59" s="697" t="s">
        <v>256</v>
      </c>
      <c r="C59" s="131">
        <v>38</v>
      </c>
      <c r="D59" s="670" t="s">
        <v>924</v>
      </c>
      <c r="E59" s="663"/>
      <c r="F59" s="663">
        <f t="shared" si="3"/>
        <v>5.0863702487495006E-2</v>
      </c>
      <c r="G59" s="663" t="s">
        <v>1192</v>
      </c>
      <c r="H59" s="663" t="s">
        <v>1401</v>
      </c>
      <c r="I59" s="677" t="s">
        <v>884</v>
      </c>
      <c r="J59" s="142"/>
      <c r="K59" s="699">
        <v>1</v>
      </c>
      <c r="L59" s="671" t="s">
        <v>1035</v>
      </c>
      <c r="M59" s="530">
        <f t="shared" si="28"/>
        <v>5.0863702487495006E-2</v>
      </c>
      <c r="N59" s="671">
        <f t="shared" si="11"/>
        <v>0</v>
      </c>
      <c r="O59" s="666" t="s">
        <v>1187</v>
      </c>
      <c r="P59" s="530"/>
      <c r="Q59" s="673">
        <v>0.99</v>
      </c>
      <c r="R59" s="674">
        <f t="shared" si="17"/>
        <v>5.0863702487495056E-4</v>
      </c>
      <c r="S59" s="142"/>
      <c r="T59" s="675" t="str">
        <f t="shared" ref="T59:T61" si="31">L59</f>
        <v>Y</v>
      </c>
      <c r="U59" s="670" t="str">
        <f t="shared" si="6"/>
        <v>SM09 SM10 SM13</v>
      </c>
      <c r="V59" s="530"/>
      <c r="W59" s="673">
        <v>1</v>
      </c>
      <c r="X59" s="668">
        <f t="shared" ref="X59:X61" si="32">IF(T59="N",0,(M59*(1-N59)-R59)*(1-W59))</f>
        <v>0</v>
      </c>
      <c r="Y59" s="141"/>
      <c r="Z59" s="132" t="s">
        <v>1189</v>
      </c>
      <c r="AA59" s="135"/>
    </row>
    <row r="60" spans="1:27">
      <c r="A60" s="136"/>
      <c r="B60" s="697" t="s">
        <v>257</v>
      </c>
      <c r="C60" s="131">
        <v>39</v>
      </c>
      <c r="D60" s="670" t="s">
        <v>925</v>
      </c>
      <c r="E60" s="663"/>
      <c r="F60" s="663">
        <f t="shared" si="3"/>
        <v>5.0863702487495006E-2</v>
      </c>
      <c r="G60" s="663" t="s">
        <v>1172</v>
      </c>
      <c r="H60" s="663" t="s">
        <v>1327</v>
      </c>
      <c r="I60" s="677" t="s">
        <v>884</v>
      </c>
      <c r="J60" s="142"/>
      <c r="K60" s="665">
        <v>1</v>
      </c>
      <c r="L60" s="671" t="s">
        <v>1035</v>
      </c>
      <c r="M60" s="530">
        <f t="shared" si="28"/>
        <v>5.0863702487495006E-2</v>
      </c>
      <c r="N60" s="671">
        <f t="shared" si="11"/>
        <v>0</v>
      </c>
      <c r="O60" s="693" t="s">
        <v>1182</v>
      </c>
      <c r="P60" s="530"/>
      <c r="Q60" s="673">
        <v>0.99</v>
      </c>
      <c r="R60" s="674">
        <f t="shared" si="17"/>
        <v>5.0863702487495056E-4</v>
      </c>
      <c r="S60" s="142"/>
      <c r="T60" s="698" t="str">
        <f t="shared" si="31"/>
        <v>Y</v>
      </c>
      <c r="U60" s="670" t="str">
        <f t="shared" si="6"/>
        <v>SM05 SM06</v>
      </c>
      <c r="V60" s="530"/>
      <c r="W60" s="673">
        <v>0.8</v>
      </c>
      <c r="X60" s="668">
        <f t="shared" si="32"/>
        <v>1.0071013092524009E-2</v>
      </c>
      <c r="Y60" s="141"/>
      <c r="Z60" s="517" t="s">
        <v>1191</v>
      </c>
      <c r="AA60" s="135"/>
    </row>
    <row r="61" spans="1:27">
      <c r="A61" s="136"/>
      <c r="B61" s="697" t="s">
        <v>258</v>
      </c>
      <c r="C61" s="131">
        <v>40</v>
      </c>
      <c r="D61" s="670" t="s">
        <v>926</v>
      </c>
      <c r="E61" s="663"/>
      <c r="F61" s="663">
        <f t="shared" si="3"/>
        <v>5.0863702487495006E-2</v>
      </c>
      <c r="G61" s="663" t="s">
        <v>1172</v>
      </c>
      <c r="H61" s="663" t="s">
        <v>1327</v>
      </c>
      <c r="I61" s="677" t="s">
        <v>884</v>
      </c>
      <c r="J61" s="142"/>
      <c r="K61" s="665">
        <v>1</v>
      </c>
      <c r="L61" s="671" t="s">
        <v>1035</v>
      </c>
      <c r="M61" s="530">
        <f t="shared" si="28"/>
        <v>5.0863702487495006E-2</v>
      </c>
      <c r="N61" s="671">
        <f t="shared" si="11"/>
        <v>0</v>
      </c>
      <c r="O61" s="693" t="s">
        <v>1182</v>
      </c>
      <c r="P61" s="530"/>
      <c r="Q61" s="673">
        <v>0.99</v>
      </c>
      <c r="R61" s="674">
        <f t="shared" si="17"/>
        <v>5.0863702487495056E-4</v>
      </c>
      <c r="S61" s="142"/>
      <c r="T61" s="698" t="str">
        <f t="shared" si="31"/>
        <v>Y</v>
      </c>
      <c r="U61" s="670" t="str">
        <f t="shared" si="6"/>
        <v>SM05 SM06</v>
      </c>
      <c r="V61" s="530"/>
      <c r="W61" s="673">
        <v>0.8</v>
      </c>
      <c r="X61" s="668">
        <f t="shared" si="32"/>
        <v>1.0071013092524009E-2</v>
      </c>
      <c r="Y61" s="141"/>
      <c r="Z61" s="517" t="s">
        <v>1191</v>
      </c>
      <c r="AA61" s="135"/>
    </row>
    <row r="62" spans="1:27">
      <c r="A62" s="136"/>
      <c r="B62" s="697" t="s">
        <v>259</v>
      </c>
      <c r="C62" s="131">
        <v>41</v>
      </c>
      <c r="D62" s="670" t="s">
        <v>927</v>
      </c>
      <c r="E62" s="663"/>
      <c r="F62" s="663">
        <f t="shared" si="3"/>
        <v>5.0863702487495006E-2</v>
      </c>
      <c r="G62" s="670" t="s">
        <v>1209</v>
      </c>
      <c r="H62" s="663" t="s">
        <v>1242</v>
      </c>
      <c r="I62" s="677" t="s">
        <v>1037</v>
      </c>
      <c r="J62" s="142"/>
      <c r="K62" s="665">
        <v>1</v>
      </c>
      <c r="L62" s="671" t="s">
        <v>1035</v>
      </c>
      <c r="M62" s="530">
        <f t="shared" si="28"/>
        <v>5.0863702487495006E-2</v>
      </c>
      <c r="N62" s="671">
        <f t="shared" si="11"/>
        <v>0</v>
      </c>
      <c r="O62" s="672" t="s">
        <v>857</v>
      </c>
      <c r="P62" s="530"/>
      <c r="Q62" s="673"/>
      <c r="R62" s="674"/>
      <c r="S62" s="142"/>
      <c r="T62" s="675" t="str">
        <f t="shared" si="9"/>
        <v>Y</v>
      </c>
      <c r="U62" s="670" t="str">
        <f t="shared" si="6"/>
        <v/>
      </c>
      <c r="V62" s="530"/>
      <c r="W62" s="673"/>
      <c r="X62" s="668"/>
      <c r="Y62" s="141"/>
      <c r="Z62" s="132"/>
      <c r="AA62" s="135"/>
    </row>
    <row r="63" spans="1:27" s="72" customFormat="1" ht="15.75">
      <c r="A63" s="136"/>
      <c r="B63" s="697" t="s">
        <v>260</v>
      </c>
      <c r="C63" s="131">
        <v>42</v>
      </c>
      <c r="D63" s="670" t="s">
        <v>928</v>
      </c>
      <c r="E63" s="663"/>
      <c r="F63" s="663">
        <f t="shared" si="3"/>
        <v>5.0863702487495006E-2</v>
      </c>
      <c r="G63" s="670" t="s">
        <v>1194</v>
      </c>
      <c r="H63" s="663" t="s">
        <v>1288</v>
      </c>
      <c r="I63" s="677" t="s">
        <v>884</v>
      </c>
      <c r="J63" s="142"/>
      <c r="K63" s="665">
        <v>1</v>
      </c>
      <c r="L63" s="666" t="s">
        <v>1035</v>
      </c>
      <c r="M63" s="667">
        <f t="shared" si="28"/>
        <v>5.0863702487495006E-2</v>
      </c>
      <c r="N63" s="666">
        <f t="shared" si="11"/>
        <v>0</v>
      </c>
      <c r="O63" s="666" t="s">
        <v>1202</v>
      </c>
      <c r="P63" s="666"/>
      <c r="Q63" s="666">
        <v>0.9</v>
      </c>
      <c r="R63" s="668">
        <f t="shared" ref="R63" si="33">IF(L63="N",0,M63*(1-N63)*(1-Q63))</f>
        <v>5.0863702487494991E-3</v>
      </c>
      <c r="S63" s="142"/>
      <c r="T63" s="678" t="str">
        <f t="shared" si="9"/>
        <v>Y</v>
      </c>
      <c r="U63" s="670" t="str">
        <f t="shared" si="6"/>
        <v>SM14 SM22</v>
      </c>
      <c r="V63" s="530"/>
      <c r="W63" s="666">
        <v>1</v>
      </c>
      <c r="X63" s="674">
        <f t="shared" ref="X63" si="34">IF(T63="N",0,(M63*(1-N63)-R63)*(1-W63))</f>
        <v>0</v>
      </c>
      <c r="Y63" s="141"/>
      <c r="Z63" s="507" t="s">
        <v>1203</v>
      </c>
      <c r="AA63" s="135"/>
    </row>
    <row r="64" spans="1:27" s="72" customFormat="1">
      <c r="A64" s="136"/>
      <c r="B64" s="697" t="s">
        <v>261</v>
      </c>
      <c r="C64" s="131">
        <v>43</v>
      </c>
      <c r="D64" s="670" t="s">
        <v>929</v>
      </c>
      <c r="E64" s="663"/>
      <c r="F64" s="663">
        <f t="shared" si="3"/>
        <v>5.0863702487495006E-2</v>
      </c>
      <c r="G64" s="663" t="s">
        <v>1192</v>
      </c>
      <c r="H64" s="663" t="s">
        <v>1401</v>
      </c>
      <c r="I64" s="677" t="s">
        <v>884</v>
      </c>
      <c r="J64" s="142"/>
      <c r="K64" s="699">
        <v>1</v>
      </c>
      <c r="L64" s="671" t="s">
        <v>1035</v>
      </c>
      <c r="M64" s="530">
        <f t="shared" si="28"/>
        <v>5.0863702487495006E-2</v>
      </c>
      <c r="N64" s="671">
        <f t="shared" si="11"/>
        <v>0</v>
      </c>
      <c r="O64" s="666" t="s">
        <v>1187</v>
      </c>
      <c r="P64" s="530"/>
      <c r="Q64" s="673">
        <v>0.99</v>
      </c>
      <c r="R64" s="674">
        <f t="shared" si="17"/>
        <v>5.0863702487495056E-4</v>
      </c>
      <c r="S64" s="142"/>
      <c r="T64" s="675" t="str">
        <f t="shared" si="9"/>
        <v>Y</v>
      </c>
      <c r="U64" s="670" t="str">
        <f t="shared" si="6"/>
        <v>SM09 SM10 SM13</v>
      </c>
      <c r="V64" s="530"/>
      <c r="W64" s="673">
        <v>1</v>
      </c>
      <c r="X64" s="668">
        <f t="shared" si="19"/>
        <v>0</v>
      </c>
      <c r="Y64" s="141"/>
      <c r="Z64" s="132" t="s">
        <v>1189</v>
      </c>
      <c r="AA64" s="135"/>
    </row>
    <row r="65" spans="1:27" s="72" customFormat="1">
      <c r="A65" s="136"/>
      <c r="B65" s="697" t="s">
        <v>262</v>
      </c>
      <c r="C65" s="131">
        <v>44</v>
      </c>
      <c r="D65" s="670" t="s">
        <v>930</v>
      </c>
      <c r="E65" s="663"/>
      <c r="F65" s="663">
        <f t="shared" si="3"/>
        <v>5.0863702487495006E-2</v>
      </c>
      <c r="G65" s="663" t="s">
        <v>1172</v>
      </c>
      <c r="H65" s="663" t="s">
        <v>1327</v>
      </c>
      <c r="I65" s="677" t="s">
        <v>884</v>
      </c>
      <c r="J65" s="142"/>
      <c r="K65" s="665">
        <v>1</v>
      </c>
      <c r="L65" s="671" t="s">
        <v>1035</v>
      </c>
      <c r="M65" s="530">
        <f t="shared" si="28"/>
        <v>5.0863702487495006E-2</v>
      </c>
      <c r="N65" s="671">
        <f t="shared" si="11"/>
        <v>0</v>
      </c>
      <c r="O65" s="693" t="s">
        <v>1182</v>
      </c>
      <c r="P65" s="530"/>
      <c r="Q65" s="673">
        <v>0.99</v>
      </c>
      <c r="R65" s="674">
        <f t="shared" si="17"/>
        <v>5.0863702487495056E-4</v>
      </c>
      <c r="S65" s="142"/>
      <c r="T65" s="698" t="str">
        <f t="shared" si="9"/>
        <v>Y</v>
      </c>
      <c r="U65" s="670" t="str">
        <f t="shared" si="6"/>
        <v>SM05 SM06</v>
      </c>
      <c r="V65" s="530"/>
      <c r="W65" s="673">
        <v>0.8</v>
      </c>
      <c r="X65" s="668">
        <f t="shared" si="19"/>
        <v>1.0071013092524009E-2</v>
      </c>
      <c r="Y65" s="141"/>
      <c r="Z65" s="517" t="s">
        <v>1191</v>
      </c>
      <c r="AA65" s="135"/>
    </row>
    <row r="66" spans="1:27" s="72" customFormat="1">
      <c r="A66" s="136"/>
      <c r="B66" s="697" t="s">
        <v>263</v>
      </c>
      <c r="C66" s="131">
        <v>45</v>
      </c>
      <c r="D66" s="670" t="s">
        <v>931</v>
      </c>
      <c r="E66" s="663"/>
      <c r="F66" s="663">
        <f t="shared" si="3"/>
        <v>5.0863702487495006E-2</v>
      </c>
      <c r="G66" s="663" t="s">
        <v>1172</v>
      </c>
      <c r="H66" s="663" t="s">
        <v>1327</v>
      </c>
      <c r="I66" s="677" t="s">
        <v>884</v>
      </c>
      <c r="J66" s="142"/>
      <c r="K66" s="665">
        <v>1</v>
      </c>
      <c r="L66" s="671" t="s">
        <v>1035</v>
      </c>
      <c r="M66" s="530">
        <f t="shared" si="28"/>
        <v>5.0863702487495006E-2</v>
      </c>
      <c r="N66" s="671">
        <f t="shared" si="11"/>
        <v>0</v>
      </c>
      <c r="O66" s="693" t="s">
        <v>1182</v>
      </c>
      <c r="P66" s="530"/>
      <c r="Q66" s="673">
        <v>0.99</v>
      </c>
      <c r="R66" s="674">
        <f t="shared" si="17"/>
        <v>5.0863702487495056E-4</v>
      </c>
      <c r="S66" s="142"/>
      <c r="T66" s="698" t="str">
        <f t="shared" si="9"/>
        <v>Y</v>
      </c>
      <c r="U66" s="670" t="str">
        <f t="shared" si="6"/>
        <v>SM05 SM06</v>
      </c>
      <c r="V66" s="530"/>
      <c r="W66" s="673">
        <v>0.8</v>
      </c>
      <c r="X66" s="668">
        <f t="shared" si="19"/>
        <v>1.0071013092524009E-2</v>
      </c>
      <c r="Y66" s="141"/>
      <c r="Z66" s="517" t="s">
        <v>1191</v>
      </c>
      <c r="AA66" s="135"/>
    </row>
    <row r="67" spans="1:27" s="72" customFormat="1">
      <c r="A67" s="136"/>
      <c r="B67" s="697" t="s">
        <v>264</v>
      </c>
      <c r="C67" s="131">
        <v>46</v>
      </c>
      <c r="D67" s="670" t="s">
        <v>932</v>
      </c>
      <c r="E67" s="663"/>
      <c r="F67" s="663">
        <f t="shared" si="3"/>
        <v>5.0863702487495006E-2</v>
      </c>
      <c r="G67" s="670" t="s">
        <v>1184</v>
      </c>
      <c r="H67" s="663" t="s">
        <v>1242</v>
      </c>
      <c r="I67" s="677" t="s">
        <v>1037</v>
      </c>
      <c r="J67" s="142"/>
      <c r="K67" s="665">
        <v>1</v>
      </c>
      <c r="L67" s="671" t="s">
        <v>78</v>
      </c>
      <c r="M67" s="530">
        <f t="shared" si="28"/>
        <v>5.0863702487495006E-2</v>
      </c>
      <c r="N67" s="671">
        <f t="shared" si="11"/>
        <v>1</v>
      </c>
      <c r="O67" s="672" t="s">
        <v>857</v>
      </c>
      <c r="P67" s="530"/>
      <c r="Q67" s="673"/>
      <c r="R67" s="674"/>
      <c r="S67" s="142"/>
      <c r="T67" s="675" t="str">
        <f t="shared" si="9"/>
        <v>N</v>
      </c>
      <c r="U67" s="670" t="str">
        <f t="shared" si="6"/>
        <v/>
      </c>
      <c r="V67" s="530"/>
      <c r="W67" s="673"/>
      <c r="X67" s="668"/>
      <c r="Y67" s="141"/>
      <c r="Z67" s="132"/>
      <c r="AA67" s="135"/>
    </row>
    <row r="68" spans="1:27" s="72" customFormat="1">
      <c r="A68" s="136"/>
      <c r="B68" s="697" t="s">
        <v>265</v>
      </c>
      <c r="C68" s="131">
        <v>47</v>
      </c>
      <c r="D68" s="670" t="s">
        <v>933</v>
      </c>
      <c r="E68" s="663"/>
      <c r="F68" s="663">
        <f t="shared" si="3"/>
        <v>5.0863702487495006E-2</v>
      </c>
      <c r="G68" s="670" t="s">
        <v>1184</v>
      </c>
      <c r="H68" s="663" t="s">
        <v>1242</v>
      </c>
      <c r="I68" s="677" t="s">
        <v>1037</v>
      </c>
      <c r="J68" s="142"/>
      <c r="K68" s="665">
        <v>1</v>
      </c>
      <c r="L68" s="671" t="s">
        <v>78</v>
      </c>
      <c r="M68" s="530">
        <f t="shared" si="28"/>
        <v>5.0863702487495006E-2</v>
      </c>
      <c r="N68" s="671">
        <f t="shared" si="11"/>
        <v>1</v>
      </c>
      <c r="O68" s="672" t="s">
        <v>857</v>
      </c>
      <c r="P68" s="530"/>
      <c r="Q68" s="673"/>
      <c r="R68" s="674"/>
      <c r="S68" s="142"/>
      <c r="T68" s="675" t="str">
        <f t="shared" si="9"/>
        <v>N</v>
      </c>
      <c r="U68" s="670" t="str">
        <f t="shared" si="6"/>
        <v/>
      </c>
      <c r="V68" s="530"/>
      <c r="W68" s="673"/>
      <c r="X68" s="668"/>
      <c r="Y68" s="141"/>
      <c r="Z68" s="132"/>
      <c r="AA68" s="135"/>
    </row>
    <row r="69" spans="1:27" s="72" customFormat="1" ht="16.5" thickBot="1">
      <c r="A69" s="136"/>
      <c r="B69" s="700" t="s">
        <v>266</v>
      </c>
      <c r="C69" s="701">
        <v>48</v>
      </c>
      <c r="D69" s="702" t="s">
        <v>934</v>
      </c>
      <c r="E69" s="680"/>
      <c r="F69" s="680">
        <f t="shared" si="3"/>
        <v>5.0863702487495006E-2</v>
      </c>
      <c r="G69" s="702" t="s">
        <v>1194</v>
      </c>
      <c r="H69" s="703" t="s">
        <v>1288</v>
      </c>
      <c r="I69" s="704" t="s">
        <v>884</v>
      </c>
      <c r="J69" s="142"/>
      <c r="K69" s="682">
        <v>1</v>
      </c>
      <c r="L69" s="683" t="s">
        <v>1035</v>
      </c>
      <c r="M69" s="684">
        <f t="shared" si="28"/>
        <v>5.0863702487495006E-2</v>
      </c>
      <c r="N69" s="683">
        <f t="shared" si="11"/>
        <v>0</v>
      </c>
      <c r="O69" s="683" t="s">
        <v>1202</v>
      </c>
      <c r="P69" s="683"/>
      <c r="Q69" s="683">
        <v>0.9</v>
      </c>
      <c r="R69" s="685">
        <f t="shared" ref="R69" si="35">IF(L69="N",0,M69*(1-N69)*(1-Q69))</f>
        <v>5.0863702487494991E-3</v>
      </c>
      <c r="S69" s="142"/>
      <c r="T69" s="686" t="str">
        <f t="shared" si="9"/>
        <v>Y</v>
      </c>
      <c r="U69" s="725" t="str">
        <f>O69</f>
        <v>SM14 SM22</v>
      </c>
      <c r="V69" s="687"/>
      <c r="W69" s="683">
        <v>1</v>
      </c>
      <c r="X69" s="688">
        <f t="shared" ref="X69" si="36">IF(T69="N",0,(M69*(1-N69)-R69)*(1-W69))</f>
        <v>0</v>
      </c>
      <c r="Y69" s="141"/>
      <c r="Z69" s="507" t="s">
        <v>1207</v>
      </c>
      <c r="AA69" s="135"/>
    </row>
    <row r="70" spans="1:27">
      <c r="A70" s="135"/>
      <c r="B70" s="137"/>
      <c r="C70" s="137"/>
      <c r="D70" s="137"/>
      <c r="E70" s="454"/>
      <c r="F70" s="461">
        <f>SUM(F22:F69)</f>
        <v>2.4414577193997591</v>
      </c>
      <c r="G70" s="457"/>
      <c r="H70" s="137"/>
      <c r="I70" s="137"/>
      <c r="J70" s="135"/>
      <c r="K70" s="137"/>
      <c r="L70" s="454"/>
      <c r="M70" s="461">
        <f>SUM(M22:M69)</f>
        <v>2.4414577193997591</v>
      </c>
      <c r="N70" s="457"/>
      <c r="O70" s="137"/>
      <c r="P70" s="137"/>
      <c r="Q70" s="137"/>
      <c r="R70" s="462">
        <f>SUM(R22:R69)</f>
        <v>6.6122813233743499E-2</v>
      </c>
      <c r="S70" s="135"/>
      <c r="T70" s="137"/>
      <c r="U70" s="137"/>
      <c r="V70" s="137"/>
      <c r="W70" s="137"/>
      <c r="X70" s="137"/>
      <c r="Y70" s="135"/>
      <c r="Z70" s="135"/>
      <c r="AA70" s="135"/>
    </row>
    <row r="71" spans="1:27">
      <c r="A71" s="135"/>
      <c r="B71" s="135"/>
      <c r="C71" s="135"/>
      <c r="D71" s="135"/>
      <c r="E71" s="135"/>
      <c r="F71" s="137"/>
      <c r="G71" s="135"/>
      <c r="H71" s="135"/>
      <c r="I71" s="135"/>
      <c r="J71" s="135"/>
      <c r="K71" s="135"/>
      <c r="L71" s="135"/>
      <c r="M71" s="137"/>
      <c r="N71" s="135"/>
      <c r="O71" s="135"/>
      <c r="P71" s="135"/>
      <c r="Q71" s="135"/>
      <c r="R71" s="135"/>
      <c r="S71" s="135"/>
      <c r="T71" s="135"/>
      <c r="U71" s="135"/>
      <c r="V71" s="135"/>
      <c r="W71" s="135"/>
      <c r="X71" s="135"/>
      <c r="Y71" s="135"/>
      <c r="Z71" s="135"/>
      <c r="AA71" s="135"/>
    </row>
  </sheetData>
  <mergeCells count="18">
    <mergeCell ref="A11:AA11"/>
    <mergeCell ref="C19:D19"/>
    <mergeCell ref="B15:D15"/>
    <mergeCell ref="B16:D16"/>
    <mergeCell ref="Z38:Z41"/>
    <mergeCell ref="Z20:Z21"/>
    <mergeCell ref="K18:X18"/>
    <mergeCell ref="K19:R19"/>
    <mergeCell ref="T19:X19"/>
    <mergeCell ref="A9:AA9"/>
    <mergeCell ref="V4:W4"/>
    <mergeCell ref="V5:W5"/>
    <mergeCell ref="V6:W6"/>
    <mergeCell ref="X6:Z6"/>
    <mergeCell ref="X4:Z4"/>
    <mergeCell ref="X5:Y5"/>
    <mergeCell ref="V7:W7"/>
    <mergeCell ref="X7:Z7"/>
  </mergeCells>
  <phoneticPr fontId="3" type="noConversion"/>
  <pageMargins left="0.7" right="0.7" top="0.75" bottom="0.75" header="0.3" footer="0.3"/>
  <pageSetup paperSize="9" scale="23" orientation="portrait" horizontalDpi="1200" verticalDpi="1200" r:id="rId1"/>
  <headerFooter>
    <oddHeader>&amp;C&amp;G</oddHeader>
    <oddFooter>&amp;C&amp;1#&amp;"맑은 고딕"&amp;6&amp;K737373관 윤 / 1628679@mobis.co.kr / 본 문서는 현대모비스의 대외비 정보자산이므로 무단 전재 및 복제할 수 없으며, 위반 시 당사 사규 및 관련 법규에 의해 제재될 수 있습니다.</oddFooter>
  </headerFooter>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theme="5"/>
  </sheetPr>
  <dimension ref="A1:AG72"/>
  <sheetViews>
    <sheetView topLeftCell="A21" zoomScale="55" zoomScaleNormal="55" zoomScaleSheetLayoutView="115" workbookViewId="0">
      <selection activeCell="H25" sqref="H25"/>
    </sheetView>
  </sheetViews>
  <sheetFormatPr defaultColWidth="9" defaultRowHeight="15"/>
  <cols>
    <col min="1" max="1" width="5.7109375" style="39" customWidth="1"/>
    <col min="2" max="2" width="14.42578125" style="39" bestFit="1" customWidth="1"/>
    <col min="3" max="3" width="5.42578125" style="72" bestFit="1" customWidth="1"/>
    <col min="4" max="4" width="11.28515625" style="72" customWidth="1"/>
    <col min="5" max="5" width="3.85546875" style="134" bestFit="1" customWidth="1"/>
    <col min="6" max="6" width="10.42578125" style="72" bestFit="1" customWidth="1"/>
    <col min="7" max="7" width="13.7109375" style="72" bestFit="1" customWidth="1"/>
    <col min="8" max="8" width="56.5703125" style="72" customWidth="1"/>
    <col min="9" max="9" width="31.85546875" style="23" customWidth="1"/>
    <col min="10" max="10" width="15.42578125" style="39" customWidth="1"/>
    <col min="11" max="11" width="3.42578125" style="39" customWidth="1"/>
    <col min="12" max="12" width="11" style="39" bestFit="1" customWidth="1"/>
    <col min="13" max="13" width="9.42578125" style="39" bestFit="1" customWidth="1"/>
    <col min="14" max="14" width="13.7109375" style="39" bestFit="1" customWidth="1"/>
    <col min="15" max="15" width="8" style="39" customWidth="1"/>
    <col min="16" max="16" width="23.28515625" style="39" bestFit="1" customWidth="1"/>
    <col min="17" max="17" width="10" style="39" bestFit="1" customWidth="1"/>
    <col min="18" max="18" width="10.42578125" style="39" bestFit="1" customWidth="1"/>
    <col min="19" max="19" width="13.7109375" style="39" bestFit="1" customWidth="1"/>
    <col min="20" max="20" width="3.28515625" style="39" bestFit="1" customWidth="1"/>
    <col min="21" max="21" width="12.85546875" style="39" bestFit="1" customWidth="1"/>
    <col min="22" max="22" width="25.7109375" style="39" bestFit="1" customWidth="1"/>
    <col min="23" max="23" width="9" style="39" bestFit="1" customWidth="1"/>
    <col min="24" max="24" width="7.28515625" style="39" bestFit="1" customWidth="1"/>
    <col min="25" max="25" width="13.7109375" style="39" bestFit="1" customWidth="1"/>
    <col min="26" max="26" width="3" style="39" customWidth="1"/>
    <col min="27" max="27" width="74.42578125" style="146" bestFit="1" customWidth="1"/>
    <col min="28" max="28" width="5.7109375" style="39" customWidth="1"/>
    <col min="29" max="38" width="19.7109375" style="39" customWidth="1"/>
    <col min="39" max="16384" width="9" style="39"/>
  </cols>
  <sheetData>
    <row r="1" spans="1:33">
      <c r="A1" s="135"/>
      <c r="B1" s="135"/>
      <c r="C1" s="135"/>
      <c r="D1" s="135"/>
      <c r="E1" s="135"/>
      <c r="F1" s="135"/>
      <c r="G1" s="135"/>
      <c r="H1" s="135"/>
      <c r="I1" s="135"/>
      <c r="J1" s="135"/>
      <c r="K1" s="135"/>
      <c r="L1" s="135"/>
      <c r="M1" s="135"/>
      <c r="N1" s="135"/>
      <c r="O1" s="135"/>
      <c r="P1" s="135"/>
      <c r="Q1" s="135"/>
      <c r="R1" s="135"/>
      <c r="S1" s="135"/>
      <c r="T1" s="135"/>
      <c r="U1" s="135"/>
      <c r="V1" s="135"/>
      <c r="W1" s="135"/>
      <c r="X1" s="135"/>
      <c r="Y1" s="135"/>
      <c r="Z1" s="135"/>
      <c r="AA1" s="135"/>
      <c r="AB1" s="135"/>
    </row>
    <row r="2" spans="1:33">
      <c r="A2" s="135"/>
      <c r="B2" s="135"/>
      <c r="C2" s="135"/>
      <c r="D2" s="135"/>
      <c r="E2" s="135"/>
      <c r="F2" s="135"/>
      <c r="G2" s="135"/>
      <c r="H2" s="135"/>
      <c r="I2" s="135"/>
      <c r="J2" s="135"/>
      <c r="K2" s="135"/>
      <c r="L2" s="135"/>
      <c r="M2" s="135"/>
      <c r="N2" s="135"/>
      <c r="O2" s="135"/>
      <c r="P2" s="135"/>
      <c r="Q2" s="135"/>
      <c r="R2" s="135"/>
      <c r="S2" s="135"/>
      <c r="T2" s="135"/>
      <c r="U2" s="135"/>
      <c r="V2" s="135"/>
      <c r="W2" s="135"/>
      <c r="X2" s="135"/>
      <c r="Y2" s="135"/>
      <c r="Z2" s="135"/>
      <c r="AA2" s="135"/>
      <c r="AB2" s="135"/>
    </row>
    <row r="3" spans="1:33">
      <c r="A3" s="135"/>
      <c r="B3" s="135"/>
      <c r="C3" s="135"/>
      <c r="D3" s="135"/>
      <c r="E3" s="135"/>
      <c r="F3" s="135"/>
      <c r="G3" s="135"/>
      <c r="H3" s="135"/>
      <c r="I3" s="135"/>
      <c r="J3" s="135"/>
      <c r="K3" s="135"/>
      <c r="L3" s="135"/>
      <c r="M3" s="135"/>
      <c r="N3" s="135"/>
      <c r="O3" s="135"/>
      <c r="P3" s="135"/>
      <c r="Q3" s="135"/>
      <c r="R3" s="135"/>
      <c r="S3" s="135"/>
      <c r="T3" s="135"/>
      <c r="U3" s="135"/>
      <c r="V3" s="126"/>
      <c r="W3" s="126"/>
      <c r="X3" s="126"/>
      <c r="Y3" s="126"/>
      <c r="Z3" s="126"/>
      <c r="AA3" s="126"/>
      <c r="AB3" s="135"/>
    </row>
    <row r="4" spans="1:33" ht="15.75">
      <c r="A4" s="135"/>
      <c r="B4" s="135"/>
      <c r="C4" s="135"/>
      <c r="D4" s="135"/>
      <c r="E4" s="135"/>
      <c r="F4" s="135"/>
      <c r="G4" s="135"/>
      <c r="H4" s="135"/>
      <c r="I4" s="135"/>
      <c r="J4" s="135"/>
      <c r="K4" s="135"/>
      <c r="L4" s="135"/>
      <c r="M4" s="135"/>
      <c r="N4" s="135"/>
      <c r="O4" s="135"/>
      <c r="P4" s="135"/>
      <c r="Q4" s="135"/>
      <c r="R4" s="135"/>
      <c r="S4" s="135"/>
      <c r="T4" s="135"/>
      <c r="U4" s="135"/>
      <c r="V4" s="863" t="s">
        <v>6</v>
      </c>
      <c r="W4" s="864"/>
      <c r="X4" s="760" t="str">
        <f>Cover!$F$18</f>
        <v>ELM-803-FS-0001</v>
      </c>
      <c r="Y4" s="760"/>
      <c r="Z4" s="760"/>
      <c r="AA4" s="761"/>
      <c r="AB4" s="141"/>
    </row>
    <row r="5" spans="1:33" ht="15.75">
      <c r="A5" s="135"/>
      <c r="B5" s="135"/>
      <c r="C5" s="135"/>
      <c r="D5" s="135"/>
      <c r="E5" s="135"/>
      <c r="F5" s="135"/>
      <c r="G5" s="135"/>
      <c r="H5" s="135"/>
      <c r="I5" s="135"/>
      <c r="J5" s="135"/>
      <c r="K5" s="135"/>
      <c r="L5" s="135"/>
      <c r="M5" s="135"/>
      <c r="N5" s="135"/>
      <c r="O5" s="135"/>
      <c r="P5" s="135"/>
      <c r="Q5" s="135"/>
      <c r="R5" s="135"/>
      <c r="S5" s="135"/>
      <c r="T5" s="135"/>
      <c r="U5" s="135"/>
      <c r="V5" s="865" t="s">
        <v>7</v>
      </c>
      <c r="W5" s="819"/>
      <c r="X5" s="762" t="str">
        <f>Cover!$F$19</f>
        <v>Safety Manager</v>
      </c>
      <c r="Y5" s="762"/>
      <c r="Z5" s="762"/>
      <c r="AA5" s="40" t="str">
        <f>Cover!$G$19</f>
        <v>I. Kök</v>
      </c>
      <c r="AB5" s="141"/>
    </row>
    <row r="6" spans="1:33" ht="15.75">
      <c r="A6" s="135"/>
      <c r="B6" s="135"/>
      <c r="C6" s="135"/>
      <c r="D6" s="135"/>
      <c r="E6" s="135"/>
      <c r="F6" s="135"/>
      <c r="G6" s="135"/>
      <c r="H6" s="135"/>
      <c r="I6" s="135"/>
      <c r="J6" s="135"/>
      <c r="K6" s="135"/>
      <c r="L6" s="135"/>
      <c r="M6" s="135"/>
      <c r="N6" s="135"/>
      <c r="O6" s="135"/>
      <c r="P6" s="135"/>
      <c r="Q6" s="135"/>
      <c r="R6" s="135"/>
      <c r="S6" s="135"/>
      <c r="T6" s="135"/>
      <c r="U6" s="135"/>
      <c r="V6" s="865" t="s">
        <v>8</v>
      </c>
      <c r="W6" s="819"/>
      <c r="X6" s="762" t="str">
        <f>Cover!$F$20</f>
        <v>B2</v>
      </c>
      <c r="Y6" s="762"/>
      <c r="Z6" s="762"/>
      <c r="AA6" s="763"/>
      <c r="AB6" s="141"/>
    </row>
    <row r="7" spans="1:33" ht="15.75">
      <c r="A7" s="135"/>
      <c r="B7" s="135"/>
      <c r="C7" s="135"/>
      <c r="D7" s="135"/>
      <c r="E7" s="135"/>
      <c r="F7" s="135"/>
      <c r="G7" s="135"/>
      <c r="H7" s="135"/>
      <c r="I7" s="135"/>
      <c r="J7" s="135"/>
      <c r="K7" s="135"/>
      <c r="L7" s="135"/>
      <c r="M7" s="135"/>
      <c r="N7" s="135"/>
      <c r="O7" s="135"/>
      <c r="P7" s="135"/>
      <c r="Q7" s="135"/>
      <c r="R7" s="135"/>
      <c r="S7" s="135"/>
      <c r="T7" s="135"/>
      <c r="U7" s="135"/>
      <c r="V7" s="866" t="s">
        <v>9</v>
      </c>
      <c r="W7" s="867"/>
      <c r="X7" s="764" t="str">
        <f>Cover!$F$21</f>
        <v>approved after review</v>
      </c>
      <c r="Y7" s="764"/>
      <c r="Z7" s="764"/>
      <c r="AA7" s="765"/>
      <c r="AB7" s="141"/>
    </row>
    <row r="8" spans="1:33">
      <c r="A8" s="135"/>
      <c r="B8" s="135"/>
      <c r="C8" s="135"/>
      <c r="D8" s="135"/>
      <c r="E8" s="135"/>
      <c r="F8" s="135"/>
      <c r="G8" s="135"/>
      <c r="H8" s="135"/>
      <c r="I8" s="135"/>
      <c r="J8" s="135"/>
      <c r="K8" s="135"/>
      <c r="L8" s="135"/>
      <c r="M8" s="135"/>
      <c r="N8" s="135"/>
      <c r="O8" s="135"/>
      <c r="P8" s="135"/>
      <c r="Q8" s="135"/>
      <c r="R8" s="135"/>
      <c r="S8" s="135"/>
      <c r="T8" s="135"/>
      <c r="U8" s="135"/>
      <c r="V8" s="137"/>
      <c r="W8" s="137"/>
      <c r="X8" s="137"/>
      <c r="Y8" s="137"/>
      <c r="Z8" s="137"/>
      <c r="AA8" s="137"/>
      <c r="AB8" s="135"/>
    </row>
    <row r="9" spans="1:33" s="138" customFormat="1" ht="46.5">
      <c r="A9" s="923" t="s">
        <v>22</v>
      </c>
      <c r="B9" s="923"/>
      <c r="C9" s="923"/>
      <c r="D9" s="923"/>
      <c r="E9" s="923"/>
      <c r="F9" s="923"/>
      <c r="G9" s="923"/>
      <c r="H9" s="923"/>
      <c r="I9" s="923"/>
      <c r="J9" s="923"/>
      <c r="K9" s="923"/>
      <c r="L9" s="923"/>
      <c r="M9" s="923"/>
      <c r="N9" s="923"/>
      <c r="O9" s="923"/>
      <c r="P9" s="923"/>
      <c r="Q9" s="923"/>
      <c r="R9" s="923"/>
      <c r="S9" s="923"/>
      <c r="T9" s="923"/>
      <c r="U9" s="923"/>
      <c r="V9" s="923"/>
      <c r="W9" s="923"/>
      <c r="X9" s="923"/>
      <c r="Y9" s="923"/>
      <c r="Z9" s="923"/>
      <c r="AA9" s="923"/>
      <c r="AB9" s="949"/>
      <c r="AC9" s="124"/>
      <c r="AD9" s="124"/>
      <c r="AE9" s="124"/>
      <c r="AF9" s="124"/>
      <c r="AG9" s="124"/>
    </row>
    <row r="10" spans="1:33">
      <c r="A10" s="126"/>
      <c r="B10" s="126"/>
      <c r="C10" s="126"/>
      <c r="D10" s="126"/>
      <c r="E10" s="126"/>
      <c r="F10" s="126"/>
      <c r="G10" s="126"/>
      <c r="H10" s="126"/>
      <c r="I10" s="126"/>
      <c r="J10" s="126"/>
      <c r="K10" s="126"/>
      <c r="L10" s="126"/>
      <c r="M10" s="126"/>
      <c r="N10" s="126"/>
      <c r="O10" s="126"/>
      <c r="P10" s="126"/>
      <c r="Q10" s="126"/>
      <c r="R10" s="126"/>
      <c r="S10" s="126"/>
      <c r="T10" s="126"/>
      <c r="U10" s="126"/>
      <c r="V10" s="126"/>
      <c r="W10" s="126"/>
      <c r="X10" s="126"/>
      <c r="Y10" s="126"/>
      <c r="Z10" s="127"/>
      <c r="AA10" s="135"/>
      <c r="AB10" s="135"/>
      <c r="AC10" s="139"/>
      <c r="AD10" s="139"/>
      <c r="AE10" s="139"/>
      <c r="AF10" s="139"/>
      <c r="AG10" s="139"/>
    </row>
    <row r="11" spans="1:33" s="138" customFormat="1" ht="36">
      <c r="A11" s="921" t="str">
        <f>Cover!A9</f>
        <v>ID803 - Vega</v>
      </c>
      <c r="B11" s="922"/>
      <c r="C11" s="922"/>
      <c r="D11" s="922"/>
      <c r="E11" s="922"/>
      <c r="F11" s="922"/>
      <c r="G11" s="922"/>
      <c r="H11" s="922"/>
      <c r="I11" s="922"/>
      <c r="J11" s="922"/>
      <c r="K11" s="922"/>
      <c r="L11" s="922"/>
      <c r="M11" s="922"/>
      <c r="N11" s="922"/>
      <c r="O11" s="922"/>
      <c r="P11" s="922"/>
      <c r="Q11" s="922"/>
      <c r="R11" s="922"/>
      <c r="S11" s="922"/>
      <c r="T11" s="922"/>
      <c r="U11" s="922"/>
      <c r="V11" s="922"/>
      <c r="W11" s="922"/>
      <c r="X11" s="922"/>
      <c r="Y11" s="922"/>
      <c r="Z11" s="922"/>
      <c r="AA11" s="922"/>
      <c r="AB11" s="948"/>
      <c r="AC11" s="129"/>
      <c r="AD11" s="129"/>
      <c r="AE11" s="129"/>
      <c r="AF11" s="129"/>
      <c r="AG11" s="129"/>
    </row>
    <row r="12" spans="1:33">
      <c r="A12" s="135"/>
      <c r="B12" s="135"/>
      <c r="C12" s="135" t="s">
        <v>1065</v>
      </c>
      <c r="D12" s="135"/>
      <c r="E12" s="135"/>
      <c r="F12" s="135"/>
      <c r="G12" s="135"/>
      <c r="H12" s="135"/>
      <c r="I12" s="135"/>
      <c r="J12" s="135"/>
      <c r="K12" s="135"/>
      <c r="L12" s="135"/>
      <c r="M12" s="135"/>
      <c r="N12" s="135"/>
      <c r="O12" s="135"/>
      <c r="P12" s="135"/>
      <c r="Q12" s="135"/>
      <c r="R12" s="135"/>
      <c r="S12" s="135"/>
      <c r="T12" s="135"/>
      <c r="U12" s="135"/>
      <c r="V12" s="135"/>
      <c r="W12" s="135"/>
      <c r="X12" s="135"/>
      <c r="Y12" s="135"/>
      <c r="Z12" s="135"/>
      <c r="AA12" s="137"/>
      <c r="AB12" s="137"/>
    </row>
    <row r="13" spans="1:33">
      <c r="A13" s="135"/>
      <c r="B13" s="135"/>
      <c r="C13" s="135"/>
      <c r="D13" s="135"/>
      <c r="E13" s="135"/>
      <c r="F13" s="135"/>
      <c r="G13" s="135"/>
      <c r="H13" s="135"/>
      <c r="I13" s="135"/>
      <c r="J13" s="135"/>
      <c r="K13" s="135"/>
      <c r="L13" s="135"/>
      <c r="M13" s="135"/>
      <c r="N13" s="135"/>
      <c r="O13" s="135"/>
      <c r="P13" s="135"/>
      <c r="Q13" s="135"/>
      <c r="R13" s="135"/>
      <c r="S13" s="135"/>
      <c r="T13" s="135"/>
      <c r="U13" s="135"/>
      <c r="V13" s="135"/>
      <c r="W13" s="135"/>
      <c r="X13" s="135"/>
      <c r="Y13" s="135"/>
      <c r="Z13" s="135"/>
      <c r="AA13" s="135"/>
      <c r="AB13" s="135"/>
    </row>
    <row r="14" spans="1:33">
      <c r="A14" s="135"/>
      <c r="B14" s="135"/>
      <c r="C14" s="135"/>
      <c r="D14" s="135"/>
      <c r="E14" s="135"/>
      <c r="F14" s="135"/>
      <c r="G14" s="135"/>
      <c r="H14" s="126"/>
      <c r="I14" s="126"/>
      <c r="J14" s="135"/>
      <c r="K14" s="135"/>
      <c r="L14" s="135"/>
      <c r="M14" s="135"/>
      <c r="N14" s="135"/>
      <c r="O14" s="135"/>
      <c r="P14" s="135"/>
      <c r="Q14" s="135"/>
      <c r="R14" s="135"/>
      <c r="S14" s="135"/>
      <c r="T14" s="135"/>
      <c r="U14" s="135"/>
      <c r="V14" s="135"/>
      <c r="W14" s="135"/>
      <c r="X14" s="135"/>
      <c r="Y14" s="135"/>
      <c r="Z14" s="135"/>
      <c r="AA14" s="135"/>
      <c r="AB14" s="135"/>
    </row>
    <row r="15" spans="1:33">
      <c r="A15" s="135"/>
      <c r="B15" s="135"/>
      <c r="C15" s="126"/>
      <c r="D15" s="126"/>
      <c r="E15" s="126"/>
      <c r="F15" s="126"/>
      <c r="G15" s="135"/>
      <c r="H15" s="131" t="s">
        <v>267</v>
      </c>
      <c r="I15" s="140">
        <f>SUM(N23:N70)</f>
        <v>65.919358423793568</v>
      </c>
      <c r="J15" s="141"/>
      <c r="K15" s="135"/>
      <c r="L15" s="135"/>
      <c r="M15" s="135"/>
      <c r="N15" s="135"/>
      <c r="O15" s="135"/>
      <c r="P15" s="135"/>
      <c r="Q15" s="135"/>
      <c r="R15" s="135"/>
      <c r="S15" s="135"/>
      <c r="T15" s="135"/>
      <c r="U15" s="135"/>
      <c r="V15" s="135"/>
      <c r="W15" s="135"/>
      <c r="X15" s="135"/>
      <c r="Y15" s="135"/>
      <c r="Z15" s="135"/>
      <c r="AA15" s="135"/>
      <c r="AB15" s="135"/>
    </row>
    <row r="16" spans="1:33">
      <c r="A16" s="135"/>
      <c r="B16" s="136"/>
      <c r="C16" s="939" t="s">
        <v>642</v>
      </c>
      <c r="D16" s="939"/>
      <c r="E16" s="939"/>
      <c r="F16" s="439">
        <f>'Core Block FIT rate'!G23</f>
        <v>65.919358423793526</v>
      </c>
      <c r="G16" s="141"/>
      <c r="H16" s="131" t="s">
        <v>268</v>
      </c>
      <c r="I16" s="140">
        <f>SUM(S23:S70)</f>
        <v>1.799049156982699</v>
      </c>
      <c r="J16" s="141"/>
      <c r="K16" s="135"/>
      <c r="L16" s="135"/>
      <c r="M16" s="135"/>
      <c r="N16" s="135"/>
      <c r="O16" s="135"/>
      <c r="P16" s="135"/>
      <c r="Q16" s="135"/>
      <c r="R16" s="135"/>
      <c r="S16" s="135"/>
      <c r="T16" s="135"/>
      <c r="U16" s="135"/>
      <c r="V16" s="135"/>
      <c r="W16" s="135"/>
      <c r="X16" s="135"/>
      <c r="Y16" s="135"/>
      <c r="Z16" s="135"/>
      <c r="AA16" s="135"/>
      <c r="AB16" s="135"/>
    </row>
    <row r="17" spans="1:28">
      <c r="A17" s="135"/>
      <c r="B17" s="136"/>
      <c r="C17" s="939" t="s">
        <v>269</v>
      </c>
      <c r="D17" s="939"/>
      <c r="E17" s="939"/>
      <c r="F17" s="131">
        <v>48</v>
      </c>
      <c r="G17" s="141"/>
      <c r="H17" s="131" t="s">
        <v>270</v>
      </c>
      <c r="I17" s="140">
        <f>SUM(Y23:Y70)</f>
        <v>7.0863310305578029</v>
      </c>
      <c r="J17" s="141"/>
      <c r="K17" s="135"/>
      <c r="L17" s="135"/>
      <c r="M17" s="135"/>
      <c r="N17" s="135"/>
      <c r="O17" s="135"/>
      <c r="P17" s="135"/>
      <c r="Q17" s="135"/>
      <c r="R17" s="135"/>
      <c r="S17" s="135"/>
      <c r="T17" s="135"/>
      <c r="U17" s="135"/>
      <c r="V17" s="135"/>
      <c r="W17" s="135"/>
      <c r="X17" s="135"/>
      <c r="Y17" s="135"/>
      <c r="Z17" s="135"/>
      <c r="AA17" s="135"/>
      <c r="AB17" s="135"/>
    </row>
    <row r="18" spans="1:28">
      <c r="A18" s="135"/>
      <c r="B18" s="135"/>
      <c r="C18" s="137"/>
      <c r="D18" s="137"/>
      <c r="E18" s="137"/>
      <c r="F18" s="137"/>
      <c r="G18" s="135"/>
      <c r="H18" s="135"/>
      <c r="I18" s="135"/>
      <c r="J18" s="135"/>
      <c r="K18" s="135"/>
      <c r="L18" s="135"/>
      <c r="M18" s="135"/>
      <c r="N18" s="135"/>
      <c r="O18" s="135"/>
      <c r="P18" s="135"/>
      <c r="Q18" s="135"/>
      <c r="R18" s="135"/>
      <c r="S18" s="135"/>
      <c r="T18" s="135"/>
      <c r="U18" s="135"/>
      <c r="V18" s="135"/>
      <c r="W18" s="135"/>
      <c r="X18" s="135"/>
      <c r="Y18" s="135"/>
      <c r="Z18" s="135"/>
      <c r="AA18" s="135"/>
      <c r="AB18" s="135"/>
    </row>
    <row r="19" spans="1:28">
      <c r="A19" s="135"/>
      <c r="B19" s="135"/>
      <c r="C19" s="135"/>
      <c r="D19" s="135"/>
      <c r="E19" s="135"/>
      <c r="F19" s="135"/>
      <c r="G19" s="135"/>
      <c r="H19" s="135"/>
      <c r="I19" s="135"/>
      <c r="J19" s="135"/>
      <c r="K19" s="135"/>
      <c r="L19" s="935" t="s">
        <v>140</v>
      </c>
      <c r="M19" s="935"/>
      <c r="N19" s="935"/>
      <c r="O19" s="935"/>
      <c r="P19" s="935"/>
      <c r="Q19" s="935"/>
      <c r="R19" s="935"/>
      <c r="S19" s="935"/>
      <c r="T19" s="935"/>
      <c r="U19" s="935"/>
      <c r="V19" s="935"/>
      <c r="W19" s="935"/>
      <c r="X19" s="935"/>
      <c r="Y19" s="935"/>
      <c r="Z19" s="135"/>
      <c r="AA19" s="135"/>
      <c r="AB19" s="135"/>
    </row>
    <row r="20" spans="1:28" ht="15.75" thickBot="1">
      <c r="A20" s="135"/>
      <c r="B20" s="126"/>
      <c r="C20" s="943" t="s">
        <v>141</v>
      </c>
      <c r="D20" s="944"/>
      <c r="E20" s="126"/>
      <c r="F20" s="126"/>
      <c r="G20" s="126"/>
      <c r="H20" s="126"/>
      <c r="I20" s="126"/>
      <c r="J20" s="126"/>
      <c r="K20" s="135"/>
      <c r="L20" s="937" t="s">
        <v>142</v>
      </c>
      <c r="M20" s="938"/>
      <c r="N20" s="938"/>
      <c r="O20" s="938"/>
      <c r="P20" s="938"/>
      <c r="Q20" s="938"/>
      <c r="R20" s="938"/>
      <c r="S20" s="938"/>
      <c r="T20" s="135"/>
      <c r="U20" s="937" t="s">
        <v>271</v>
      </c>
      <c r="V20" s="937"/>
      <c r="W20" s="937"/>
      <c r="X20" s="937"/>
      <c r="Y20" s="937"/>
      <c r="Z20" s="135"/>
      <c r="AA20" s="135"/>
      <c r="AB20" s="135"/>
    </row>
    <row r="21" spans="1:28" ht="75.75" thickBot="1">
      <c r="A21" s="136"/>
      <c r="B21" s="446" t="s">
        <v>577</v>
      </c>
      <c r="C21" s="447" t="s">
        <v>578</v>
      </c>
      <c r="D21" s="447" t="s">
        <v>579</v>
      </c>
      <c r="E21" s="447" t="s">
        <v>68</v>
      </c>
      <c r="F21" s="447" t="s">
        <v>580</v>
      </c>
      <c r="G21" s="447" t="s">
        <v>581</v>
      </c>
      <c r="H21" s="447" t="s">
        <v>582</v>
      </c>
      <c r="I21" s="447" t="s">
        <v>583</v>
      </c>
      <c r="J21" s="448" t="s">
        <v>576</v>
      </c>
      <c r="K21" s="142"/>
      <c r="L21" s="449" t="s">
        <v>584</v>
      </c>
      <c r="M21" s="450" t="s">
        <v>585</v>
      </c>
      <c r="N21" s="451" t="s">
        <v>586</v>
      </c>
      <c r="O21" s="450" t="s">
        <v>587</v>
      </c>
      <c r="P21" s="450" t="s">
        <v>588</v>
      </c>
      <c r="Q21" s="450" t="s">
        <v>589</v>
      </c>
      <c r="R21" s="450" t="s">
        <v>1069</v>
      </c>
      <c r="S21" s="452" t="s">
        <v>1070</v>
      </c>
      <c r="T21" s="142" t="s">
        <v>68</v>
      </c>
      <c r="U21" s="443" t="s">
        <v>590</v>
      </c>
      <c r="V21" s="444" t="s">
        <v>591</v>
      </c>
      <c r="W21" s="444" t="s">
        <v>589</v>
      </c>
      <c r="X21" s="444" t="s">
        <v>1071</v>
      </c>
      <c r="Y21" s="445" t="s">
        <v>592</v>
      </c>
      <c r="Z21" s="141"/>
      <c r="AA21" s="950" t="s">
        <v>593</v>
      </c>
      <c r="AB21" s="135"/>
    </row>
    <row r="22" spans="1:28" s="143" customFormat="1" ht="163.5" thickBot="1">
      <c r="A22" s="136"/>
      <c r="B22" s="481" t="s">
        <v>272</v>
      </c>
      <c r="C22" s="482" t="s">
        <v>273</v>
      </c>
      <c r="D22" s="482" t="s">
        <v>274</v>
      </c>
      <c r="E22" s="482" t="s">
        <v>275</v>
      </c>
      <c r="F22" s="482" t="s">
        <v>276</v>
      </c>
      <c r="G22" s="482" t="s">
        <v>639</v>
      </c>
      <c r="H22" s="482" t="s">
        <v>277</v>
      </c>
      <c r="I22" s="482" t="s">
        <v>278</v>
      </c>
      <c r="J22" s="480" t="s">
        <v>1175</v>
      </c>
      <c r="K22" s="453"/>
      <c r="L22" s="470" t="s">
        <v>5</v>
      </c>
      <c r="M22" s="471" t="s">
        <v>279</v>
      </c>
      <c r="N22" s="472" t="s">
        <v>1</v>
      </c>
      <c r="O22" s="471" t="s">
        <v>643</v>
      </c>
      <c r="P22" s="471" t="s">
        <v>280</v>
      </c>
      <c r="Q22" s="471" t="s">
        <v>281</v>
      </c>
      <c r="R22" s="471" t="s">
        <v>152</v>
      </c>
      <c r="S22" s="475" t="s">
        <v>2</v>
      </c>
      <c r="T22" s="453"/>
      <c r="U22" s="478" t="s">
        <v>282</v>
      </c>
      <c r="V22" s="479" t="s">
        <v>283</v>
      </c>
      <c r="W22" s="479" t="s">
        <v>284</v>
      </c>
      <c r="X22" s="479" t="s">
        <v>3</v>
      </c>
      <c r="Y22" s="480" t="s">
        <v>4</v>
      </c>
      <c r="Z22" s="141"/>
      <c r="AA22" s="950"/>
      <c r="AB22" s="135"/>
    </row>
    <row r="23" spans="1:28" ht="15.75">
      <c r="A23" s="136"/>
      <c r="B23" s="705" t="s">
        <v>285</v>
      </c>
      <c r="C23" s="706">
        <v>1</v>
      </c>
      <c r="D23" s="706" t="s">
        <v>890</v>
      </c>
      <c r="E23" s="707"/>
      <c r="F23" s="707"/>
      <c r="G23" s="707">
        <f t="shared" ref="G23:G70" si="0">$F$16/$F$17</f>
        <v>1.373319967162365</v>
      </c>
      <c r="H23" s="706" t="s">
        <v>1174</v>
      </c>
      <c r="I23" s="706" t="s">
        <v>1288</v>
      </c>
      <c r="J23" s="708" t="s">
        <v>884</v>
      </c>
      <c r="K23" s="142"/>
      <c r="L23" s="657">
        <v>1</v>
      </c>
      <c r="M23" s="658" t="s">
        <v>1035</v>
      </c>
      <c r="N23" s="659">
        <f t="shared" ref="N23:N54" si="1">G23*L23</f>
        <v>1.373319967162365</v>
      </c>
      <c r="O23" s="658">
        <f>IF(M23="N",100%,0%)</f>
        <v>0</v>
      </c>
      <c r="P23" s="658" t="s">
        <v>1352</v>
      </c>
      <c r="Q23" s="658"/>
      <c r="R23" s="658">
        <v>0.99</v>
      </c>
      <c r="S23" s="660">
        <f>IF(M23="N",0,N23*(1-O23)*(1-R23))</f>
        <v>1.3733199671623663E-2</v>
      </c>
      <c r="T23" s="142"/>
      <c r="U23" s="709" t="str">
        <f>M23</f>
        <v>Y</v>
      </c>
      <c r="V23" s="728" t="str">
        <f>P23</f>
        <v>SM04 SM24</v>
      </c>
      <c r="W23" s="695"/>
      <c r="X23" s="658">
        <v>0.8</v>
      </c>
      <c r="Y23" s="710">
        <f t="shared" ref="Y23:Y70" si="2">IF(U23="N",0,(N23*(1-O23)-S23)*(1-X23))</f>
        <v>0.27191735349814822</v>
      </c>
      <c r="Z23" s="141"/>
      <c r="AA23" s="507"/>
      <c r="AB23" s="135"/>
    </row>
    <row r="24" spans="1:28" ht="15.75">
      <c r="A24" s="136"/>
      <c r="B24" s="711" t="s">
        <v>286</v>
      </c>
      <c r="C24" s="712">
        <v>2</v>
      </c>
      <c r="D24" s="712" t="s">
        <v>891</v>
      </c>
      <c r="E24" s="713"/>
      <c r="F24" s="713"/>
      <c r="G24" s="713">
        <f t="shared" si="0"/>
        <v>1.373319967162365</v>
      </c>
      <c r="H24" s="712" t="s">
        <v>1174</v>
      </c>
      <c r="I24" s="663" t="s">
        <v>1288</v>
      </c>
      <c r="J24" s="714" t="s">
        <v>884</v>
      </c>
      <c r="K24" s="142"/>
      <c r="L24" s="665">
        <v>1</v>
      </c>
      <c r="M24" s="666" t="s">
        <v>1035</v>
      </c>
      <c r="N24" s="667">
        <f t="shared" si="1"/>
        <v>1.373319967162365</v>
      </c>
      <c r="O24" s="666">
        <f t="shared" ref="O24:O70" si="3">IF(M24="N",100%,0%)</f>
        <v>0</v>
      </c>
      <c r="P24" s="666" t="s">
        <v>1352</v>
      </c>
      <c r="Q24" s="666"/>
      <c r="R24" s="666">
        <v>0.99</v>
      </c>
      <c r="S24" s="668">
        <f t="shared" ref="S24:S70" si="4">IF(M24="N",0,N24*(1-O24)*(1-R24))</f>
        <v>1.3733199671623663E-2</v>
      </c>
      <c r="T24" s="142"/>
      <c r="U24" s="678" t="str">
        <f t="shared" ref="U24:U70" si="5">M24</f>
        <v>Y</v>
      </c>
      <c r="V24" s="671" t="str">
        <f>P24</f>
        <v>SM04 SM24</v>
      </c>
      <c r="W24" s="530"/>
      <c r="X24" s="666">
        <v>0.8</v>
      </c>
      <c r="Y24" s="674">
        <f t="shared" si="2"/>
        <v>0.27191735349814822</v>
      </c>
      <c r="Z24" s="141"/>
      <c r="AA24" s="507"/>
      <c r="AB24" s="135"/>
    </row>
    <row r="25" spans="1:28" ht="15.75">
      <c r="A25" s="136"/>
      <c r="B25" s="711" t="s">
        <v>287</v>
      </c>
      <c r="C25" s="712">
        <v>3</v>
      </c>
      <c r="D25" s="712" t="s">
        <v>892</v>
      </c>
      <c r="E25" s="713"/>
      <c r="F25" s="713"/>
      <c r="G25" s="713">
        <f t="shared" si="0"/>
        <v>1.373319967162365</v>
      </c>
      <c r="H25" s="712" t="s">
        <v>1174</v>
      </c>
      <c r="I25" s="663" t="s">
        <v>1288</v>
      </c>
      <c r="J25" s="714" t="s">
        <v>884</v>
      </c>
      <c r="K25" s="142"/>
      <c r="L25" s="665">
        <v>1</v>
      </c>
      <c r="M25" s="666" t="s">
        <v>1035</v>
      </c>
      <c r="N25" s="667">
        <f t="shared" si="1"/>
        <v>1.373319967162365</v>
      </c>
      <c r="O25" s="666">
        <f t="shared" si="3"/>
        <v>0</v>
      </c>
      <c r="P25" s="666" t="s">
        <v>1352</v>
      </c>
      <c r="Q25" s="666"/>
      <c r="R25" s="666">
        <v>0.99</v>
      </c>
      <c r="S25" s="668">
        <f t="shared" si="4"/>
        <v>1.3733199671623663E-2</v>
      </c>
      <c r="T25" s="142"/>
      <c r="U25" s="678" t="str">
        <f t="shared" si="5"/>
        <v>Y</v>
      </c>
      <c r="V25" s="671" t="str">
        <f t="shared" ref="V25:V69" si="6">P25</f>
        <v>SM04 SM24</v>
      </c>
      <c r="W25" s="530"/>
      <c r="X25" s="666">
        <v>0.8</v>
      </c>
      <c r="Y25" s="674">
        <f t="shared" si="2"/>
        <v>0.27191735349814822</v>
      </c>
      <c r="Z25" s="141"/>
      <c r="AA25" s="507"/>
      <c r="AB25" s="135"/>
    </row>
    <row r="26" spans="1:28" ht="15.75">
      <c r="A26" s="136"/>
      <c r="B26" s="711" t="s">
        <v>288</v>
      </c>
      <c r="C26" s="712">
        <v>4</v>
      </c>
      <c r="D26" s="712" t="s">
        <v>893</v>
      </c>
      <c r="E26" s="713"/>
      <c r="F26" s="713"/>
      <c r="G26" s="713">
        <f t="shared" si="0"/>
        <v>1.373319967162365</v>
      </c>
      <c r="H26" s="712" t="s">
        <v>1174</v>
      </c>
      <c r="I26" s="663" t="s">
        <v>1288</v>
      </c>
      <c r="J26" s="714" t="s">
        <v>884</v>
      </c>
      <c r="K26" s="142"/>
      <c r="L26" s="665">
        <v>1</v>
      </c>
      <c r="M26" s="666" t="s">
        <v>1035</v>
      </c>
      <c r="N26" s="667">
        <f t="shared" si="1"/>
        <v>1.373319967162365</v>
      </c>
      <c r="O26" s="666">
        <f t="shared" si="3"/>
        <v>0</v>
      </c>
      <c r="P26" s="666" t="s">
        <v>1352</v>
      </c>
      <c r="Q26" s="666"/>
      <c r="R26" s="666">
        <v>0.99</v>
      </c>
      <c r="S26" s="668">
        <f t="shared" si="4"/>
        <v>1.3733199671623663E-2</v>
      </c>
      <c r="T26" s="142"/>
      <c r="U26" s="678" t="str">
        <f t="shared" si="5"/>
        <v>Y</v>
      </c>
      <c r="V26" s="671" t="str">
        <f t="shared" si="6"/>
        <v>SM04 SM24</v>
      </c>
      <c r="W26" s="530"/>
      <c r="X26" s="666">
        <v>0.8</v>
      </c>
      <c r="Y26" s="674">
        <f t="shared" si="2"/>
        <v>0.27191735349814822</v>
      </c>
      <c r="Z26" s="141"/>
      <c r="AA26" s="507"/>
      <c r="AB26" s="135"/>
    </row>
    <row r="27" spans="1:28" ht="15.75">
      <c r="A27" s="136"/>
      <c r="B27" s="711" t="s">
        <v>289</v>
      </c>
      <c r="C27" s="712">
        <v>5</v>
      </c>
      <c r="D27" s="712" t="s">
        <v>894</v>
      </c>
      <c r="E27" s="713"/>
      <c r="F27" s="713"/>
      <c r="G27" s="713">
        <f t="shared" si="0"/>
        <v>1.373319967162365</v>
      </c>
      <c r="H27" s="712" t="s">
        <v>1174</v>
      </c>
      <c r="I27" s="663" t="s">
        <v>1288</v>
      </c>
      <c r="J27" s="714" t="s">
        <v>884</v>
      </c>
      <c r="K27" s="142"/>
      <c r="L27" s="665">
        <v>1</v>
      </c>
      <c r="M27" s="666" t="s">
        <v>1035</v>
      </c>
      <c r="N27" s="667">
        <f t="shared" si="1"/>
        <v>1.373319967162365</v>
      </c>
      <c r="O27" s="666">
        <f t="shared" si="3"/>
        <v>0</v>
      </c>
      <c r="P27" s="666" t="s">
        <v>1352</v>
      </c>
      <c r="Q27" s="666"/>
      <c r="R27" s="666">
        <v>0.99</v>
      </c>
      <c r="S27" s="668">
        <f t="shared" si="4"/>
        <v>1.3733199671623663E-2</v>
      </c>
      <c r="T27" s="142"/>
      <c r="U27" s="678" t="str">
        <f t="shared" si="5"/>
        <v>Y</v>
      </c>
      <c r="V27" s="671" t="str">
        <f t="shared" si="6"/>
        <v>SM04 SM24</v>
      </c>
      <c r="W27" s="530"/>
      <c r="X27" s="666">
        <v>0.8</v>
      </c>
      <c r="Y27" s="674">
        <f t="shared" si="2"/>
        <v>0.27191735349814822</v>
      </c>
      <c r="Z27" s="141"/>
      <c r="AA27" s="507"/>
      <c r="AB27" s="135"/>
    </row>
    <row r="28" spans="1:28">
      <c r="A28" s="136"/>
      <c r="B28" s="711" t="s">
        <v>290</v>
      </c>
      <c r="C28" s="712">
        <v>6</v>
      </c>
      <c r="D28" s="712" t="s">
        <v>895</v>
      </c>
      <c r="E28" s="713"/>
      <c r="F28" s="713"/>
      <c r="G28" s="713">
        <f t="shared" si="0"/>
        <v>1.373319967162365</v>
      </c>
      <c r="H28" s="670" t="s">
        <v>1171</v>
      </c>
      <c r="I28" s="712" t="s">
        <v>1242</v>
      </c>
      <c r="J28" s="714" t="s">
        <v>1037</v>
      </c>
      <c r="K28" s="142"/>
      <c r="L28" s="665">
        <v>1</v>
      </c>
      <c r="M28" s="666" t="s">
        <v>78</v>
      </c>
      <c r="N28" s="667">
        <f t="shared" si="1"/>
        <v>1.373319967162365</v>
      </c>
      <c r="O28" s="666">
        <f t="shared" si="3"/>
        <v>1</v>
      </c>
      <c r="P28" s="715" t="s">
        <v>857</v>
      </c>
      <c r="Q28" s="666"/>
      <c r="R28" s="666"/>
      <c r="S28" s="668"/>
      <c r="T28" s="142"/>
      <c r="U28" s="678" t="str">
        <f t="shared" si="5"/>
        <v>N</v>
      </c>
      <c r="V28" s="671" t="str">
        <f t="shared" si="6"/>
        <v/>
      </c>
      <c r="W28" s="530"/>
      <c r="X28" s="666"/>
      <c r="Y28" s="674"/>
      <c r="Z28" s="141"/>
      <c r="AA28" s="517"/>
      <c r="AB28" s="135"/>
    </row>
    <row r="29" spans="1:28">
      <c r="A29" s="136"/>
      <c r="B29" s="711" t="s">
        <v>291</v>
      </c>
      <c r="C29" s="712">
        <v>7</v>
      </c>
      <c r="D29" s="712" t="s">
        <v>896</v>
      </c>
      <c r="E29" s="713"/>
      <c r="F29" s="713"/>
      <c r="G29" s="713">
        <f t="shared" si="0"/>
        <v>1.373319967162365</v>
      </c>
      <c r="H29" s="670" t="s">
        <v>1183</v>
      </c>
      <c r="I29" s="712" t="s">
        <v>1242</v>
      </c>
      <c r="J29" s="714" t="s">
        <v>1037</v>
      </c>
      <c r="K29" s="142"/>
      <c r="L29" s="665">
        <v>1</v>
      </c>
      <c r="M29" s="666" t="s">
        <v>78</v>
      </c>
      <c r="N29" s="667">
        <f t="shared" si="1"/>
        <v>1.373319967162365</v>
      </c>
      <c r="O29" s="666">
        <f t="shared" si="3"/>
        <v>1</v>
      </c>
      <c r="P29" s="715" t="s">
        <v>857</v>
      </c>
      <c r="Q29" s="666"/>
      <c r="R29" s="666"/>
      <c r="S29" s="668"/>
      <c r="T29" s="142"/>
      <c r="U29" s="678" t="str">
        <f t="shared" si="5"/>
        <v>N</v>
      </c>
      <c r="V29" s="671" t="str">
        <f t="shared" si="6"/>
        <v/>
      </c>
      <c r="W29" s="530"/>
      <c r="X29" s="666"/>
      <c r="Y29" s="674"/>
      <c r="Z29" s="141"/>
      <c r="AA29" s="517"/>
      <c r="AB29" s="135"/>
    </row>
    <row r="30" spans="1:28" ht="30" collapsed="1">
      <c r="A30" s="136"/>
      <c r="B30" s="711" t="s">
        <v>292</v>
      </c>
      <c r="C30" s="712">
        <v>8</v>
      </c>
      <c r="D30" s="712" t="s">
        <v>897</v>
      </c>
      <c r="E30" s="713"/>
      <c r="F30" s="713"/>
      <c r="G30" s="713">
        <f t="shared" si="0"/>
        <v>1.373319967162365</v>
      </c>
      <c r="H30" s="670" t="s">
        <v>1193</v>
      </c>
      <c r="I30" s="663" t="s">
        <v>1400</v>
      </c>
      <c r="J30" s="714" t="s">
        <v>1037</v>
      </c>
      <c r="K30" s="142"/>
      <c r="L30" s="665">
        <v>1</v>
      </c>
      <c r="M30" s="666" t="s">
        <v>78</v>
      </c>
      <c r="N30" s="667">
        <f t="shared" si="1"/>
        <v>1.373319967162365</v>
      </c>
      <c r="O30" s="666">
        <f t="shared" si="3"/>
        <v>1</v>
      </c>
      <c r="P30" s="715" t="s">
        <v>857</v>
      </c>
      <c r="Q30" s="666"/>
      <c r="R30" s="666"/>
      <c r="S30" s="668"/>
      <c r="T30" s="142"/>
      <c r="U30" s="678" t="str">
        <f t="shared" si="5"/>
        <v>N</v>
      </c>
      <c r="V30" s="671" t="str">
        <f t="shared" si="6"/>
        <v/>
      </c>
      <c r="W30" s="530"/>
      <c r="X30" s="666"/>
      <c r="Y30" s="674"/>
      <c r="Z30" s="141"/>
      <c r="AA30" s="517"/>
      <c r="AB30" s="135"/>
    </row>
    <row r="31" spans="1:28">
      <c r="A31" s="136"/>
      <c r="B31" s="711" t="s">
        <v>293</v>
      </c>
      <c r="C31" s="712">
        <v>9</v>
      </c>
      <c r="D31" s="712" t="s">
        <v>898</v>
      </c>
      <c r="E31" s="713"/>
      <c r="F31" s="713"/>
      <c r="G31" s="713">
        <f t="shared" si="0"/>
        <v>1.373319967162365</v>
      </c>
      <c r="H31" s="670" t="s">
        <v>1185</v>
      </c>
      <c r="I31" s="712" t="s">
        <v>1242</v>
      </c>
      <c r="J31" s="714" t="s">
        <v>1037</v>
      </c>
      <c r="K31" s="142"/>
      <c r="L31" s="665">
        <v>1</v>
      </c>
      <c r="M31" s="666" t="s">
        <v>78</v>
      </c>
      <c r="N31" s="667">
        <f t="shared" si="1"/>
        <v>1.373319967162365</v>
      </c>
      <c r="O31" s="666">
        <f t="shared" si="3"/>
        <v>1</v>
      </c>
      <c r="P31" s="715" t="s">
        <v>857</v>
      </c>
      <c r="Q31" s="666"/>
      <c r="R31" s="666"/>
      <c r="S31" s="668"/>
      <c r="T31" s="142"/>
      <c r="U31" s="678" t="str">
        <f t="shared" si="5"/>
        <v>N</v>
      </c>
      <c r="V31" s="671" t="str">
        <f t="shared" si="6"/>
        <v/>
      </c>
      <c r="W31" s="530"/>
      <c r="X31" s="666"/>
      <c r="Y31" s="674"/>
      <c r="Z31" s="141"/>
      <c r="AA31" s="517"/>
      <c r="AB31" s="135"/>
    </row>
    <row r="32" spans="1:28" ht="15.75">
      <c r="A32" s="136"/>
      <c r="B32" s="711" t="s">
        <v>294</v>
      </c>
      <c r="C32" s="712">
        <v>10</v>
      </c>
      <c r="D32" s="712" t="s">
        <v>899</v>
      </c>
      <c r="E32" s="713"/>
      <c r="F32" s="713"/>
      <c r="G32" s="713">
        <f t="shared" si="0"/>
        <v>1.373319967162365</v>
      </c>
      <c r="H32" s="663" t="s">
        <v>1192</v>
      </c>
      <c r="I32" s="676" t="s">
        <v>1401</v>
      </c>
      <c r="J32" s="714" t="s">
        <v>884</v>
      </c>
      <c r="K32" s="142"/>
      <c r="L32" s="665">
        <v>1</v>
      </c>
      <c r="M32" s="666" t="s">
        <v>1035</v>
      </c>
      <c r="N32" s="667">
        <f t="shared" si="1"/>
        <v>1.373319967162365</v>
      </c>
      <c r="O32" s="666">
        <f t="shared" si="3"/>
        <v>0</v>
      </c>
      <c r="P32" s="666" t="s">
        <v>1354</v>
      </c>
      <c r="Q32" s="666"/>
      <c r="R32" s="666">
        <v>0.99</v>
      </c>
      <c r="S32" s="668">
        <f t="shared" si="4"/>
        <v>1.3733199671623663E-2</v>
      </c>
      <c r="T32" s="142"/>
      <c r="U32" s="678" t="str">
        <f t="shared" si="5"/>
        <v>Y</v>
      </c>
      <c r="V32" s="671" t="str">
        <f t="shared" si="6"/>
        <v>SM09 SM13</v>
      </c>
      <c r="W32" s="530"/>
      <c r="X32" s="666">
        <v>1</v>
      </c>
      <c r="Y32" s="674">
        <f t="shared" si="2"/>
        <v>0</v>
      </c>
      <c r="Z32" s="141"/>
      <c r="AA32" s="507" t="s">
        <v>1189</v>
      </c>
      <c r="AB32" s="135"/>
    </row>
    <row r="33" spans="1:28">
      <c r="A33" s="136"/>
      <c r="B33" s="711" t="s">
        <v>295</v>
      </c>
      <c r="C33" s="712">
        <v>11</v>
      </c>
      <c r="D33" s="712" t="s">
        <v>900</v>
      </c>
      <c r="E33" s="713"/>
      <c r="F33" s="713"/>
      <c r="G33" s="713">
        <f t="shared" si="0"/>
        <v>1.373319967162365</v>
      </c>
      <c r="H33" s="670" t="s">
        <v>1186</v>
      </c>
      <c r="I33" s="712" t="s">
        <v>1242</v>
      </c>
      <c r="J33" s="714" t="s">
        <v>1037</v>
      </c>
      <c r="K33" s="142"/>
      <c r="L33" s="665">
        <v>1</v>
      </c>
      <c r="M33" s="666" t="s">
        <v>78</v>
      </c>
      <c r="N33" s="667">
        <f t="shared" si="1"/>
        <v>1.373319967162365</v>
      </c>
      <c r="O33" s="666">
        <f t="shared" si="3"/>
        <v>1</v>
      </c>
      <c r="P33" s="715" t="s">
        <v>857</v>
      </c>
      <c r="Q33" s="666"/>
      <c r="R33" s="666"/>
      <c r="S33" s="668"/>
      <c r="T33" s="142"/>
      <c r="U33" s="678" t="str">
        <f t="shared" si="5"/>
        <v>N</v>
      </c>
      <c r="V33" s="671" t="str">
        <f t="shared" si="6"/>
        <v/>
      </c>
      <c r="W33" s="530"/>
      <c r="X33" s="666"/>
      <c r="Y33" s="674"/>
      <c r="Z33" s="141"/>
      <c r="AA33" s="517"/>
      <c r="AB33" s="135"/>
    </row>
    <row r="34" spans="1:28" ht="15.75">
      <c r="A34" s="136"/>
      <c r="B34" s="711" t="s">
        <v>296</v>
      </c>
      <c r="C34" s="712">
        <v>12</v>
      </c>
      <c r="D34" s="712" t="s">
        <v>901</v>
      </c>
      <c r="E34" s="713"/>
      <c r="F34" s="713"/>
      <c r="G34" s="713">
        <f t="shared" si="0"/>
        <v>1.373319967162365</v>
      </c>
      <c r="H34" s="663" t="s">
        <v>1192</v>
      </c>
      <c r="I34" s="676" t="s">
        <v>1401</v>
      </c>
      <c r="J34" s="714" t="s">
        <v>884</v>
      </c>
      <c r="K34" s="142"/>
      <c r="L34" s="665">
        <v>1</v>
      </c>
      <c r="M34" s="666" t="s">
        <v>1035</v>
      </c>
      <c r="N34" s="667">
        <f t="shared" si="1"/>
        <v>1.373319967162365</v>
      </c>
      <c r="O34" s="666">
        <f t="shared" si="3"/>
        <v>0</v>
      </c>
      <c r="P34" s="666" t="s">
        <v>1187</v>
      </c>
      <c r="Q34" s="666"/>
      <c r="R34" s="666">
        <v>0.99</v>
      </c>
      <c r="S34" s="668">
        <f t="shared" si="4"/>
        <v>1.3733199671623663E-2</v>
      </c>
      <c r="T34" s="142"/>
      <c r="U34" s="678" t="str">
        <f t="shared" si="5"/>
        <v>Y</v>
      </c>
      <c r="V34" s="671" t="str">
        <f t="shared" si="6"/>
        <v>SM09 SM10 SM13</v>
      </c>
      <c r="W34" s="530"/>
      <c r="X34" s="666">
        <v>1</v>
      </c>
      <c r="Y34" s="674">
        <f t="shared" si="2"/>
        <v>0</v>
      </c>
      <c r="Z34" s="141"/>
      <c r="AA34" s="507" t="s">
        <v>1189</v>
      </c>
      <c r="AB34" s="135"/>
    </row>
    <row r="35" spans="1:28" ht="30">
      <c r="A35" s="136"/>
      <c r="B35" s="711" t="s">
        <v>297</v>
      </c>
      <c r="C35" s="712">
        <v>13</v>
      </c>
      <c r="D35" s="712" t="s">
        <v>902</v>
      </c>
      <c r="E35" s="713"/>
      <c r="F35" s="713"/>
      <c r="G35" s="713">
        <f t="shared" si="0"/>
        <v>1.373319967162365</v>
      </c>
      <c r="H35" s="670" t="s">
        <v>1173</v>
      </c>
      <c r="I35" s="663" t="s">
        <v>1288</v>
      </c>
      <c r="J35" s="714" t="s">
        <v>884</v>
      </c>
      <c r="K35" s="142"/>
      <c r="L35" s="665">
        <v>1</v>
      </c>
      <c r="M35" s="666" t="s">
        <v>1035</v>
      </c>
      <c r="N35" s="667">
        <f t="shared" si="1"/>
        <v>1.373319967162365</v>
      </c>
      <c r="O35" s="666">
        <f t="shared" si="3"/>
        <v>0</v>
      </c>
      <c r="P35" s="666" t="s">
        <v>1200</v>
      </c>
      <c r="Q35" s="666"/>
      <c r="R35" s="666">
        <v>0.99</v>
      </c>
      <c r="S35" s="668">
        <f t="shared" si="4"/>
        <v>1.3733199671623663E-2</v>
      </c>
      <c r="T35" s="142"/>
      <c r="U35" s="678" t="str">
        <f t="shared" si="5"/>
        <v>Y</v>
      </c>
      <c r="V35" s="671" t="str">
        <f t="shared" si="6"/>
        <v>SM01 SM15 SM16 SM22</v>
      </c>
      <c r="W35" s="530"/>
      <c r="X35" s="666">
        <v>1</v>
      </c>
      <c r="Y35" s="674">
        <f t="shared" si="2"/>
        <v>0</v>
      </c>
      <c r="Z35" s="141"/>
      <c r="AA35" s="507" t="s">
        <v>1206</v>
      </c>
      <c r="AB35" s="135"/>
    </row>
    <row r="36" spans="1:28">
      <c r="A36" s="136"/>
      <c r="B36" s="711" t="s">
        <v>298</v>
      </c>
      <c r="C36" s="712">
        <v>14</v>
      </c>
      <c r="D36" s="712" t="s">
        <v>903</v>
      </c>
      <c r="E36" s="713"/>
      <c r="F36" s="713"/>
      <c r="G36" s="713">
        <f t="shared" si="0"/>
        <v>1.373319967162365</v>
      </c>
      <c r="H36" s="663" t="s">
        <v>1398</v>
      </c>
      <c r="I36" s="676" t="s">
        <v>1398</v>
      </c>
      <c r="J36" s="664" t="s">
        <v>884</v>
      </c>
      <c r="K36" s="142"/>
      <c r="L36" s="665">
        <v>1</v>
      </c>
      <c r="M36" s="671" t="s">
        <v>1035</v>
      </c>
      <c r="N36" s="530">
        <f t="shared" si="1"/>
        <v>1.373319967162365</v>
      </c>
      <c r="O36" s="671">
        <f t="shared" si="3"/>
        <v>0</v>
      </c>
      <c r="P36" s="670" t="s">
        <v>1053</v>
      </c>
      <c r="Q36" s="530"/>
      <c r="R36" s="673">
        <v>0.6</v>
      </c>
      <c r="S36" s="674">
        <f t="shared" si="4"/>
        <v>0.54932798686494599</v>
      </c>
      <c r="T36" s="142"/>
      <c r="U36" s="675" t="str">
        <f t="shared" si="5"/>
        <v>Y</v>
      </c>
      <c r="V36" s="666"/>
      <c r="W36" s="530"/>
      <c r="X36" s="673">
        <v>0</v>
      </c>
      <c r="Y36" s="668">
        <f t="shared" si="2"/>
        <v>0.82399198029741905</v>
      </c>
      <c r="Z36" s="141"/>
      <c r="AA36" s="517"/>
      <c r="AB36" s="135"/>
    </row>
    <row r="37" spans="1:28" ht="15.75">
      <c r="A37" s="136"/>
      <c r="B37" s="711" t="s">
        <v>299</v>
      </c>
      <c r="C37" s="712">
        <v>15</v>
      </c>
      <c r="D37" s="712" t="s">
        <v>904</v>
      </c>
      <c r="E37" s="713"/>
      <c r="F37" s="713"/>
      <c r="G37" s="713">
        <f t="shared" si="0"/>
        <v>1.373319967162365</v>
      </c>
      <c r="H37" s="663" t="s">
        <v>1192</v>
      </c>
      <c r="I37" s="676" t="s">
        <v>1401</v>
      </c>
      <c r="J37" s="714" t="s">
        <v>884</v>
      </c>
      <c r="K37" s="142"/>
      <c r="L37" s="665">
        <v>1</v>
      </c>
      <c r="M37" s="666" t="s">
        <v>1035</v>
      </c>
      <c r="N37" s="667">
        <f t="shared" si="1"/>
        <v>1.373319967162365</v>
      </c>
      <c r="O37" s="666">
        <f t="shared" si="3"/>
        <v>0</v>
      </c>
      <c r="P37" s="666" t="s">
        <v>1187</v>
      </c>
      <c r="Q37" s="666"/>
      <c r="R37" s="666">
        <v>0.99</v>
      </c>
      <c r="S37" s="668">
        <f t="shared" si="4"/>
        <v>1.3733199671623663E-2</v>
      </c>
      <c r="T37" s="142"/>
      <c r="U37" s="678" t="str">
        <f t="shared" si="5"/>
        <v>Y</v>
      </c>
      <c r="V37" s="671" t="str">
        <f t="shared" si="6"/>
        <v>SM09 SM10 SM13</v>
      </c>
      <c r="W37" s="530"/>
      <c r="X37" s="666">
        <v>1</v>
      </c>
      <c r="Y37" s="674">
        <f t="shared" si="2"/>
        <v>0</v>
      </c>
      <c r="Z37" s="141"/>
      <c r="AA37" s="507" t="s">
        <v>1189</v>
      </c>
      <c r="AB37" s="135"/>
    </row>
    <row r="38" spans="1:28">
      <c r="A38" s="136"/>
      <c r="B38" s="711" t="s">
        <v>300</v>
      </c>
      <c r="C38" s="712">
        <v>16</v>
      </c>
      <c r="D38" s="712" t="s">
        <v>905</v>
      </c>
      <c r="E38" s="713"/>
      <c r="F38" s="713"/>
      <c r="G38" s="713">
        <f t="shared" si="0"/>
        <v>1.373319967162365</v>
      </c>
      <c r="H38" s="670" t="s">
        <v>1184</v>
      </c>
      <c r="I38" s="712" t="s">
        <v>1242</v>
      </c>
      <c r="J38" s="714" t="s">
        <v>1037</v>
      </c>
      <c r="K38" s="142"/>
      <c r="L38" s="665">
        <v>1</v>
      </c>
      <c r="M38" s="666" t="s">
        <v>78</v>
      </c>
      <c r="N38" s="667">
        <f t="shared" si="1"/>
        <v>1.373319967162365</v>
      </c>
      <c r="O38" s="666">
        <f t="shared" si="3"/>
        <v>1</v>
      </c>
      <c r="P38" s="715" t="s">
        <v>857</v>
      </c>
      <c r="Q38" s="666"/>
      <c r="R38" s="666"/>
      <c r="S38" s="668"/>
      <c r="T38" s="142"/>
      <c r="U38" s="678" t="str">
        <f t="shared" si="5"/>
        <v>N</v>
      </c>
      <c r="V38" s="671" t="str">
        <f t="shared" si="6"/>
        <v/>
      </c>
      <c r="W38" s="530"/>
      <c r="X38" s="666"/>
      <c r="Y38" s="674"/>
      <c r="Z38" s="141"/>
      <c r="AA38" s="517"/>
      <c r="AB38" s="135"/>
    </row>
    <row r="39" spans="1:28">
      <c r="A39" s="136"/>
      <c r="B39" s="711" t="s">
        <v>301</v>
      </c>
      <c r="C39" s="712">
        <v>17</v>
      </c>
      <c r="D39" s="712" t="s">
        <v>906</v>
      </c>
      <c r="E39" s="713"/>
      <c r="F39" s="713"/>
      <c r="G39" s="713">
        <f t="shared" si="0"/>
        <v>1.373319967162365</v>
      </c>
      <c r="H39" s="663" t="s">
        <v>1192</v>
      </c>
      <c r="I39" s="676" t="s">
        <v>1401</v>
      </c>
      <c r="J39" s="714" t="s">
        <v>884</v>
      </c>
      <c r="K39" s="142"/>
      <c r="L39" s="665">
        <v>1</v>
      </c>
      <c r="M39" s="666" t="s">
        <v>1035</v>
      </c>
      <c r="N39" s="667">
        <f t="shared" si="1"/>
        <v>1.373319967162365</v>
      </c>
      <c r="O39" s="666">
        <f t="shared" si="3"/>
        <v>0</v>
      </c>
      <c r="P39" s="666" t="s">
        <v>1187</v>
      </c>
      <c r="Q39" s="666"/>
      <c r="R39" s="666">
        <v>0.99</v>
      </c>
      <c r="S39" s="668">
        <f t="shared" si="4"/>
        <v>1.3733199671623663E-2</v>
      </c>
      <c r="T39" s="142"/>
      <c r="U39" s="678" t="str">
        <f t="shared" si="5"/>
        <v>Y</v>
      </c>
      <c r="V39" s="671" t="str">
        <f t="shared" si="6"/>
        <v>SM09 SM10 SM13</v>
      </c>
      <c r="W39" s="530"/>
      <c r="X39" s="666">
        <v>1</v>
      </c>
      <c r="Y39" s="674">
        <f t="shared" si="2"/>
        <v>0</v>
      </c>
      <c r="Z39" s="141"/>
      <c r="AA39" s="945" t="s">
        <v>1188</v>
      </c>
      <c r="AB39" s="135"/>
    </row>
    <row r="40" spans="1:28">
      <c r="A40" s="136"/>
      <c r="B40" s="711" t="s">
        <v>302</v>
      </c>
      <c r="C40" s="712">
        <v>18</v>
      </c>
      <c r="D40" s="712" t="s">
        <v>904</v>
      </c>
      <c r="E40" s="713"/>
      <c r="F40" s="713"/>
      <c r="G40" s="713">
        <f t="shared" si="0"/>
        <v>1.373319967162365</v>
      </c>
      <c r="H40" s="663" t="s">
        <v>1192</v>
      </c>
      <c r="I40" s="676" t="s">
        <v>1401</v>
      </c>
      <c r="J40" s="714" t="s">
        <v>884</v>
      </c>
      <c r="K40" s="142"/>
      <c r="L40" s="665">
        <v>1</v>
      </c>
      <c r="M40" s="666" t="s">
        <v>1035</v>
      </c>
      <c r="N40" s="667">
        <f t="shared" si="1"/>
        <v>1.373319967162365</v>
      </c>
      <c r="O40" s="666">
        <f t="shared" si="3"/>
        <v>0</v>
      </c>
      <c r="P40" s="666" t="s">
        <v>1187</v>
      </c>
      <c r="Q40" s="666"/>
      <c r="R40" s="666">
        <v>0.99</v>
      </c>
      <c r="S40" s="668">
        <f t="shared" si="4"/>
        <v>1.3733199671623663E-2</v>
      </c>
      <c r="T40" s="142"/>
      <c r="U40" s="678" t="str">
        <f t="shared" si="5"/>
        <v>Y</v>
      </c>
      <c r="V40" s="671" t="str">
        <f t="shared" si="6"/>
        <v>SM09 SM10 SM13</v>
      </c>
      <c r="W40" s="530"/>
      <c r="X40" s="666">
        <v>1</v>
      </c>
      <c r="Y40" s="674">
        <f t="shared" si="2"/>
        <v>0</v>
      </c>
      <c r="Z40" s="141"/>
      <c r="AA40" s="946"/>
      <c r="AB40" s="135"/>
    </row>
    <row r="41" spans="1:28">
      <c r="A41" s="136"/>
      <c r="B41" s="711" t="s">
        <v>303</v>
      </c>
      <c r="C41" s="712">
        <v>19</v>
      </c>
      <c r="D41" s="712" t="s">
        <v>907</v>
      </c>
      <c r="E41" s="713"/>
      <c r="F41" s="713"/>
      <c r="G41" s="713">
        <f t="shared" si="0"/>
        <v>1.373319967162365</v>
      </c>
      <c r="H41" s="663" t="s">
        <v>1192</v>
      </c>
      <c r="I41" s="676" t="s">
        <v>1401</v>
      </c>
      <c r="J41" s="714" t="s">
        <v>884</v>
      </c>
      <c r="K41" s="142"/>
      <c r="L41" s="665">
        <v>1</v>
      </c>
      <c r="M41" s="666" t="s">
        <v>1035</v>
      </c>
      <c r="N41" s="667">
        <f t="shared" ref="N41" si="7">G41*L41</f>
        <v>1.373319967162365</v>
      </c>
      <c r="O41" s="666">
        <f t="shared" si="3"/>
        <v>0</v>
      </c>
      <c r="P41" s="666" t="s">
        <v>1187</v>
      </c>
      <c r="Q41" s="666"/>
      <c r="R41" s="666">
        <v>0.99</v>
      </c>
      <c r="S41" s="668">
        <f t="shared" ref="S41" si="8">IF(M41="N",0,N41*(1-O41)*(1-R41))</f>
        <v>1.3733199671623663E-2</v>
      </c>
      <c r="T41" s="142"/>
      <c r="U41" s="678" t="str">
        <f t="shared" si="5"/>
        <v>Y</v>
      </c>
      <c r="V41" s="671" t="str">
        <f t="shared" si="6"/>
        <v>SM09 SM10 SM13</v>
      </c>
      <c r="W41" s="530"/>
      <c r="X41" s="666">
        <v>1</v>
      </c>
      <c r="Y41" s="674">
        <f t="shared" si="2"/>
        <v>0</v>
      </c>
      <c r="Z41" s="141"/>
      <c r="AA41" s="946"/>
      <c r="AB41" s="135"/>
    </row>
    <row r="42" spans="1:28">
      <c r="A42" s="136"/>
      <c r="B42" s="711" t="s">
        <v>304</v>
      </c>
      <c r="C42" s="712">
        <v>20</v>
      </c>
      <c r="D42" s="712" t="s">
        <v>908</v>
      </c>
      <c r="E42" s="713"/>
      <c r="F42" s="713"/>
      <c r="G42" s="713">
        <f t="shared" si="0"/>
        <v>1.373319967162365</v>
      </c>
      <c r="H42" s="663" t="s">
        <v>1192</v>
      </c>
      <c r="I42" s="676" t="s">
        <v>1401</v>
      </c>
      <c r="J42" s="714" t="s">
        <v>884</v>
      </c>
      <c r="K42" s="142"/>
      <c r="L42" s="665">
        <v>1</v>
      </c>
      <c r="M42" s="666" t="s">
        <v>1035</v>
      </c>
      <c r="N42" s="667">
        <f t="shared" si="1"/>
        <v>1.373319967162365</v>
      </c>
      <c r="O42" s="666">
        <f t="shared" si="3"/>
        <v>0</v>
      </c>
      <c r="P42" s="666" t="s">
        <v>1187</v>
      </c>
      <c r="Q42" s="666"/>
      <c r="R42" s="666">
        <v>0.99</v>
      </c>
      <c r="S42" s="668">
        <f t="shared" si="4"/>
        <v>1.3733199671623663E-2</v>
      </c>
      <c r="T42" s="142"/>
      <c r="U42" s="678" t="str">
        <f t="shared" si="5"/>
        <v>Y</v>
      </c>
      <c r="V42" s="671" t="str">
        <f t="shared" si="6"/>
        <v>SM09 SM10 SM13</v>
      </c>
      <c r="W42" s="530"/>
      <c r="X42" s="666">
        <v>1</v>
      </c>
      <c r="Y42" s="674">
        <f t="shared" si="2"/>
        <v>0</v>
      </c>
      <c r="Z42" s="141"/>
      <c r="AA42" s="947"/>
      <c r="AB42" s="135"/>
    </row>
    <row r="43" spans="1:28">
      <c r="A43" s="136"/>
      <c r="B43" s="711" t="s">
        <v>305</v>
      </c>
      <c r="C43" s="712">
        <v>21</v>
      </c>
      <c r="D43" s="712" t="s">
        <v>909</v>
      </c>
      <c r="E43" s="713"/>
      <c r="F43" s="713"/>
      <c r="G43" s="713">
        <f t="shared" si="0"/>
        <v>1.373319967162365</v>
      </c>
      <c r="H43" s="670" t="s">
        <v>1184</v>
      </c>
      <c r="I43" s="712" t="s">
        <v>1242</v>
      </c>
      <c r="J43" s="714" t="s">
        <v>1037</v>
      </c>
      <c r="K43" s="142"/>
      <c r="L43" s="665">
        <v>1</v>
      </c>
      <c r="M43" s="666" t="s">
        <v>78</v>
      </c>
      <c r="N43" s="667">
        <f t="shared" si="1"/>
        <v>1.373319967162365</v>
      </c>
      <c r="O43" s="666">
        <f t="shared" si="3"/>
        <v>1</v>
      </c>
      <c r="P43" s="715" t="s">
        <v>857</v>
      </c>
      <c r="Q43" s="666"/>
      <c r="R43" s="666"/>
      <c r="S43" s="668"/>
      <c r="T43" s="142"/>
      <c r="U43" s="678" t="str">
        <f t="shared" si="5"/>
        <v>N</v>
      </c>
      <c r="V43" s="671" t="str">
        <f t="shared" si="6"/>
        <v/>
      </c>
      <c r="W43" s="530"/>
      <c r="X43" s="666"/>
      <c r="Y43" s="674"/>
      <c r="Z43" s="141"/>
      <c r="AA43" s="517"/>
      <c r="AB43" s="135"/>
    </row>
    <row r="44" spans="1:28">
      <c r="A44" s="136"/>
      <c r="B44" s="711" t="s">
        <v>306</v>
      </c>
      <c r="C44" s="712">
        <v>22</v>
      </c>
      <c r="D44" s="712" t="s">
        <v>903</v>
      </c>
      <c r="E44" s="713"/>
      <c r="F44" s="713"/>
      <c r="G44" s="713">
        <f t="shared" si="0"/>
        <v>1.373319967162365</v>
      </c>
      <c r="H44" s="663" t="s">
        <v>1398</v>
      </c>
      <c r="I44" s="676" t="s">
        <v>1398</v>
      </c>
      <c r="J44" s="664" t="s">
        <v>884</v>
      </c>
      <c r="K44" s="142"/>
      <c r="L44" s="665">
        <v>1</v>
      </c>
      <c r="M44" s="671" t="s">
        <v>1035</v>
      </c>
      <c r="N44" s="530">
        <f t="shared" si="1"/>
        <v>1.373319967162365</v>
      </c>
      <c r="O44" s="671">
        <f t="shared" si="3"/>
        <v>0</v>
      </c>
      <c r="P44" s="670" t="s">
        <v>1053</v>
      </c>
      <c r="Q44" s="530"/>
      <c r="R44" s="673">
        <v>0.6</v>
      </c>
      <c r="S44" s="674">
        <f t="shared" ref="S44" si="9">IF(M44="N",0,N44*(1-O44)*(1-R44))</f>
        <v>0.54932798686494599</v>
      </c>
      <c r="T44" s="142"/>
      <c r="U44" s="675" t="str">
        <f t="shared" si="5"/>
        <v>Y</v>
      </c>
      <c r="V44" s="666"/>
      <c r="W44" s="530"/>
      <c r="X44" s="673">
        <v>0</v>
      </c>
      <c r="Y44" s="668">
        <f t="shared" ref="Y44" si="10">IF(U44="N",0,(N44*(1-O44)-S44)*(1-X44))</f>
        <v>0.82399198029741905</v>
      </c>
      <c r="Z44" s="141"/>
      <c r="AA44" s="517"/>
      <c r="AB44" s="135"/>
    </row>
    <row r="45" spans="1:28">
      <c r="A45" s="136"/>
      <c r="B45" s="711" t="s">
        <v>307</v>
      </c>
      <c r="C45" s="712">
        <v>23</v>
      </c>
      <c r="D45" s="712" t="s">
        <v>910</v>
      </c>
      <c r="E45" s="713"/>
      <c r="F45" s="713"/>
      <c r="G45" s="713">
        <f t="shared" si="0"/>
        <v>1.373319967162365</v>
      </c>
      <c r="H45" s="670" t="s">
        <v>1183</v>
      </c>
      <c r="I45" s="712" t="s">
        <v>1242</v>
      </c>
      <c r="J45" s="714" t="s">
        <v>1037</v>
      </c>
      <c r="K45" s="142"/>
      <c r="L45" s="665">
        <v>1</v>
      </c>
      <c r="M45" s="666" t="s">
        <v>78</v>
      </c>
      <c r="N45" s="667">
        <f t="shared" si="1"/>
        <v>1.373319967162365</v>
      </c>
      <c r="O45" s="666">
        <f t="shared" si="3"/>
        <v>1</v>
      </c>
      <c r="P45" s="715" t="s">
        <v>857</v>
      </c>
      <c r="Q45" s="666"/>
      <c r="R45" s="666"/>
      <c r="S45" s="668"/>
      <c r="T45" s="142"/>
      <c r="U45" s="678" t="str">
        <f t="shared" si="5"/>
        <v>N</v>
      </c>
      <c r="V45" s="671" t="str">
        <f t="shared" si="6"/>
        <v/>
      </c>
      <c r="W45" s="530"/>
      <c r="X45" s="666"/>
      <c r="Y45" s="674"/>
      <c r="Z45" s="141"/>
      <c r="AA45" s="517"/>
      <c r="AB45" s="135"/>
    </row>
    <row r="46" spans="1:28" ht="15.75">
      <c r="A46" s="136"/>
      <c r="B46" s="711" t="s">
        <v>308</v>
      </c>
      <c r="C46" s="712">
        <v>24</v>
      </c>
      <c r="D46" s="712" t="s">
        <v>908</v>
      </c>
      <c r="E46" s="713"/>
      <c r="F46" s="713"/>
      <c r="G46" s="713">
        <f t="shared" si="0"/>
        <v>1.373319967162365</v>
      </c>
      <c r="H46" s="663" t="s">
        <v>1192</v>
      </c>
      <c r="I46" s="676" t="s">
        <v>1401</v>
      </c>
      <c r="J46" s="714" t="s">
        <v>884</v>
      </c>
      <c r="K46" s="142"/>
      <c r="L46" s="665">
        <v>1</v>
      </c>
      <c r="M46" s="666" t="s">
        <v>1035</v>
      </c>
      <c r="N46" s="667">
        <f t="shared" si="1"/>
        <v>1.373319967162365</v>
      </c>
      <c r="O46" s="666">
        <f t="shared" si="3"/>
        <v>0</v>
      </c>
      <c r="P46" s="666" t="s">
        <v>1187</v>
      </c>
      <c r="Q46" s="666"/>
      <c r="R46" s="666">
        <v>0.99</v>
      </c>
      <c r="S46" s="668">
        <f t="shared" si="4"/>
        <v>1.3733199671623663E-2</v>
      </c>
      <c r="T46" s="142"/>
      <c r="U46" s="678" t="str">
        <f t="shared" si="5"/>
        <v>Y</v>
      </c>
      <c r="V46" s="671" t="str">
        <f t="shared" si="6"/>
        <v>SM09 SM10 SM13</v>
      </c>
      <c r="W46" s="530"/>
      <c r="X46" s="666">
        <v>1</v>
      </c>
      <c r="Y46" s="674">
        <f t="shared" si="2"/>
        <v>0</v>
      </c>
      <c r="Z46" s="141"/>
      <c r="AA46" s="507" t="s">
        <v>1189</v>
      </c>
      <c r="AB46" s="135"/>
    </row>
    <row r="47" spans="1:28" ht="15.75">
      <c r="A47" s="136"/>
      <c r="B47" s="711" t="s">
        <v>309</v>
      </c>
      <c r="C47" s="712">
        <v>25</v>
      </c>
      <c r="D47" s="712" t="s">
        <v>911</v>
      </c>
      <c r="E47" s="713"/>
      <c r="F47" s="713"/>
      <c r="G47" s="713">
        <f t="shared" si="0"/>
        <v>1.373319967162365</v>
      </c>
      <c r="H47" s="712" t="s">
        <v>1174</v>
      </c>
      <c r="I47" s="663" t="s">
        <v>1288</v>
      </c>
      <c r="J47" s="714" t="s">
        <v>884</v>
      </c>
      <c r="K47" s="142"/>
      <c r="L47" s="665">
        <v>1</v>
      </c>
      <c r="M47" s="666" t="s">
        <v>1035</v>
      </c>
      <c r="N47" s="667">
        <f t="shared" si="1"/>
        <v>1.373319967162365</v>
      </c>
      <c r="O47" s="666">
        <f t="shared" si="3"/>
        <v>0</v>
      </c>
      <c r="P47" s="666" t="s">
        <v>1352</v>
      </c>
      <c r="Q47" s="666"/>
      <c r="R47" s="666">
        <v>0.99</v>
      </c>
      <c r="S47" s="668">
        <f t="shared" si="4"/>
        <v>1.3733199671623663E-2</v>
      </c>
      <c r="T47" s="142"/>
      <c r="U47" s="678" t="str">
        <f t="shared" si="5"/>
        <v>Y</v>
      </c>
      <c r="V47" s="671" t="str">
        <f t="shared" si="6"/>
        <v>SM04 SM24</v>
      </c>
      <c r="W47" s="530"/>
      <c r="X47" s="666">
        <v>0.8</v>
      </c>
      <c r="Y47" s="674">
        <f t="shared" si="2"/>
        <v>0.27191735349814822</v>
      </c>
      <c r="Z47" s="141"/>
      <c r="AA47" s="507"/>
      <c r="AB47" s="135"/>
    </row>
    <row r="48" spans="1:28" ht="15.75">
      <c r="A48" s="136"/>
      <c r="B48" s="711" t="s">
        <v>310</v>
      </c>
      <c r="C48" s="712">
        <v>26</v>
      </c>
      <c r="D48" s="712" t="s">
        <v>912</v>
      </c>
      <c r="E48" s="713"/>
      <c r="F48" s="713"/>
      <c r="G48" s="713">
        <f t="shared" si="0"/>
        <v>1.373319967162365</v>
      </c>
      <c r="H48" s="712" t="s">
        <v>1174</v>
      </c>
      <c r="I48" s="663" t="s">
        <v>1288</v>
      </c>
      <c r="J48" s="714" t="s">
        <v>884</v>
      </c>
      <c r="K48" s="142"/>
      <c r="L48" s="665">
        <v>1</v>
      </c>
      <c r="M48" s="666" t="s">
        <v>1035</v>
      </c>
      <c r="N48" s="667">
        <f t="shared" si="1"/>
        <v>1.373319967162365</v>
      </c>
      <c r="O48" s="666">
        <f t="shared" si="3"/>
        <v>0</v>
      </c>
      <c r="P48" s="666" t="s">
        <v>1352</v>
      </c>
      <c r="Q48" s="666"/>
      <c r="R48" s="666">
        <v>0.99</v>
      </c>
      <c r="S48" s="668">
        <f t="shared" si="4"/>
        <v>1.3733199671623663E-2</v>
      </c>
      <c r="T48" s="142"/>
      <c r="U48" s="678" t="str">
        <f t="shared" si="5"/>
        <v>Y</v>
      </c>
      <c r="V48" s="671" t="str">
        <f t="shared" si="6"/>
        <v>SM04 SM24</v>
      </c>
      <c r="W48" s="530"/>
      <c r="X48" s="666">
        <v>0.8</v>
      </c>
      <c r="Y48" s="674">
        <f t="shared" si="2"/>
        <v>0.27191735349814822</v>
      </c>
      <c r="Z48" s="141"/>
      <c r="AA48" s="507"/>
      <c r="AB48" s="135"/>
    </row>
    <row r="49" spans="1:28" ht="15.75">
      <c r="A49" s="136"/>
      <c r="B49" s="711" t="s">
        <v>311</v>
      </c>
      <c r="C49" s="712">
        <v>27</v>
      </c>
      <c r="D49" s="712" t="s">
        <v>913</v>
      </c>
      <c r="E49" s="713"/>
      <c r="F49" s="713"/>
      <c r="G49" s="713">
        <f t="shared" si="0"/>
        <v>1.373319967162365</v>
      </c>
      <c r="H49" s="712" t="s">
        <v>1174</v>
      </c>
      <c r="I49" s="663" t="s">
        <v>1288</v>
      </c>
      <c r="J49" s="714" t="s">
        <v>884</v>
      </c>
      <c r="K49" s="142"/>
      <c r="L49" s="665">
        <v>1</v>
      </c>
      <c r="M49" s="666" t="s">
        <v>1035</v>
      </c>
      <c r="N49" s="667">
        <f t="shared" si="1"/>
        <v>1.373319967162365</v>
      </c>
      <c r="O49" s="666">
        <f t="shared" si="3"/>
        <v>0</v>
      </c>
      <c r="P49" s="666" t="s">
        <v>1352</v>
      </c>
      <c r="Q49" s="666"/>
      <c r="R49" s="666">
        <v>0.99</v>
      </c>
      <c r="S49" s="668">
        <f t="shared" si="4"/>
        <v>1.3733199671623663E-2</v>
      </c>
      <c r="T49" s="142"/>
      <c r="U49" s="678" t="str">
        <f t="shared" si="5"/>
        <v>Y</v>
      </c>
      <c r="V49" s="671" t="str">
        <f t="shared" si="6"/>
        <v>SM04 SM24</v>
      </c>
      <c r="W49" s="530"/>
      <c r="X49" s="666">
        <v>0.8</v>
      </c>
      <c r="Y49" s="674">
        <f t="shared" si="2"/>
        <v>0.27191735349814822</v>
      </c>
      <c r="Z49" s="141"/>
      <c r="AA49" s="507"/>
      <c r="AB49" s="135"/>
    </row>
    <row r="50" spans="1:28" ht="15.75">
      <c r="A50" s="136"/>
      <c r="B50" s="711" t="s">
        <v>312</v>
      </c>
      <c r="C50" s="712">
        <v>28</v>
      </c>
      <c r="D50" s="712" t="s">
        <v>914</v>
      </c>
      <c r="E50" s="713"/>
      <c r="F50" s="713"/>
      <c r="G50" s="713">
        <f t="shared" si="0"/>
        <v>1.373319967162365</v>
      </c>
      <c r="H50" s="712" t="s">
        <v>1174</v>
      </c>
      <c r="I50" s="663" t="s">
        <v>1288</v>
      </c>
      <c r="J50" s="714" t="s">
        <v>884</v>
      </c>
      <c r="K50" s="142"/>
      <c r="L50" s="665">
        <v>1</v>
      </c>
      <c r="M50" s="666" t="s">
        <v>1035</v>
      </c>
      <c r="N50" s="667">
        <f t="shared" si="1"/>
        <v>1.373319967162365</v>
      </c>
      <c r="O50" s="666">
        <f t="shared" si="3"/>
        <v>0</v>
      </c>
      <c r="P50" s="666" t="s">
        <v>1352</v>
      </c>
      <c r="Q50" s="666"/>
      <c r="R50" s="666">
        <v>0.99</v>
      </c>
      <c r="S50" s="668">
        <f t="shared" si="4"/>
        <v>1.3733199671623663E-2</v>
      </c>
      <c r="T50" s="142"/>
      <c r="U50" s="678" t="str">
        <f t="shared" si="5"/>
        <v>Y</v>
      </c>
      <c r="V50" s="671" t="str">
        <f t="shared" si="6"/>
        <v>SM04 SM24</v>
      </c>
      <c r="W50" s="530"/>
      <c r="X50" s="666">
        <v>0.8</v>
      </c>
      <c r="Y50" s="674">
        <f t="shared" si="2"/>
        <v>0.27191735349814822</v>
      </c>
      <c r="Z50" s="141"/>
      <c r="AA50" s="507"/>
      <c r="AB50" s="135"/>
    </row>
    <row r="51" spans="1:28" ht="15.75">
      <c r="A51" s="136"/>
      <c r="B51" s="711" t="s">
        <v>313</v>
      </c>
      <c r="C51" s="712">
        <v>29</v>
      </c>
      <c r="D51" s="712" t="s">
        <v>915</v>
      </c>
      <c r="E51" s="713"/>
      <c r="F51" s="713"/>
      <c r="G51" s="713">
        <f t="shared" si="0"/>
        <v>1.373319967162365</v>
      </c>
      <c r="H51" s="712" t="s">
        <v>1174</v>
      </c>
      <c r="I51" s="663" t="s">
        <v>1288</v>
      </c>
      <c r="J51" s="714" t="s">
        <v>884</v>
      </c>
      <c r="K51" s="142"/>
      <c r="L51" s="665">
        <v>1</v>
      </c>
      <c r="M51" s="666" t="s">
        <v>1035</v>
      </c>
      <c r="N51" s="667">
        <f t="shared" si="1"/>
        <v>1.373319967162365</v>
      </c>
      <c r="O51" s="666">
        <f t="shared" si="3"/>
        <v>0</v>
      </c>
      <c r="P51" s="666" t="s">
        <v>1352</v>
      </c>
      <c r="Q51" s="666"/>
      <c r="R51" s="666">
        <v>0.99</v>
      </c>
      <c r="S51" s="668">
        <f t="shared" si="4"/>
        <v>1.3733199671623663E-2</v>
      </c>
      <c r="T51" s="142"/>
      <c r="U51" s="678" t="str">
        <f t="shared" si="5"/>
        <v>Y</v>
      </c>
      <c r="V51" s="671" t="str">
        <f t="shared" si="6"/>
        <v>SM04 SM24</v>
      </c>
      <c r="W51" s="530"/>
      <c r="X51" s="666">
        <v>0.8</v>
      </c>
      <c r="Y51" s="674">
        <f t="shared" si="2"/>
        <v>0.27191735349814822</v>
      </c>
      <c r="Z51" s="141"/>
      <c r="AA51" s="507"/>
      <c r="AB51" s="135"/>
    </row>
    <row r="52" spans="1:28" ht="15.75">
      <c r="A52" s="136"/>
      <c r="B52" s="711" t="s">
        <v>314</v>
      </c>
      <c r="C52" s="712">
        <v>30</v>
      </c>
      <c r="D52" s="712" t="s">
        <v>916</v>
      </c>
      <c r="E52" s="713"/>
      <c r="F52" s="713"/>
      <c r="G52" s="713">
        <f t="shared" si="0"/>
        <v>1.373319967162365</v>
      </c>
      <c r="H52" s="712" t="s">
        <v>1174</v>
      </c>
      <c r="I52" s="663" t="s">
        <v>1288</v>
      </c>
      <c r="J52" s="714" t="s">
        <v>884</v>
      </c>
      <c r="K52" s="142"/>
      <c r="L52" s="665">
        <v>1</v>
      </c>
      <c r="M52" s="666" t="s">
        <v>1035</v>
      </c>
      <c r="N52" s="667">
        <f t="shared" si="1"/>
        <v>1.373319967162365</v>
      </c>
      <c r="O52" s="666">
        <f t="shared" si="3"/>
        <v>0</v>
      </c>
      <c r="P52" s="666" t="s">
        <v>1352</v>
      </c>
      <c r="Q52" s="666"/>
      <c r="R52" s="666">
        <v>0.99</v>
      </c>
      <c r="S52" s="668">
        <f t="shared" si="4"/>
        <v>1.3733199671623663E-2</v>
      </c>
      <c r="T52" s="142"/>
      <c r="U52" s="678" t="str">
        <f t="shared" si="5"/>
        <v>Y</v>
      </c>
      <c r="V52" s="671" t="str">
        <f t="shared" si="6"/>
        <v>SM04 SM24</v>
      </c>
      <c r="W52" s="530"/>
      <c r="X52" s="666">
        <v>0.8</v>
      </c>
      <c r="Y52" s="674">
        <f t="shared" si="2"/>
        <v>0.27191735349814822</v>
      </c>
      <c r="Z52" s="141"/>
      <c r="AA52" s="507"/>
      <c r="AB52" s="135"/>
    </row>
    <row r="53" spans="1:28" ht="15.75">
      <c r="A53" s="136"/>
      <c r="B53" s="711" t="s">
        <v>315</v>
      </c>
      <c r="C53" s="712">
        <v>31</v>
      </c>
      <c r="D53" s="712" t="s">
        <v>917</v>
      </c>
      <c r="E53" s="713"/>
      <c r="F53" s="713"/>
      <c r="G53" s="713">
        <f t="shared" si="0"/>
        <v>1.373319967162365</v>
      </c>
      <c r="H53" s="712" t="s">
        <v>1174</v>
      </c>
      <c r="I53" s="663" t="s">
        <v>1288</v>
      </c>
      <c r="J53" s="714" t="s">
        <v>884</v>
      </c>
      <c r="K53" s="142"/>
      <c r="L53" s="665">
        <v>1</v>
      </c>
      <c r="M53" s="666" t="s">
        <v>1035</v>
      </c>
      <c r="N53" s="667">
        <f t="shared" si="1"/>
        <v>1.373319967162365</v>
      </c>
      <c r="O53" s="666">
        <f t="shared" si="3"/>
        <v>0</v>
      </c>
      <c r="P53" s="666" t="s">
        <v>1352</v>
      </c>
      <c r="Q53" s="666"/>
      <c r="R53" s="666">
        <v>0.99</v>
      </c>
      <c r="S53" s="668">
        <f t="shared" si="4"/>
        <v>1.3733199671623663E-2</v>
      </c>
      <c r="T53" s="142"/>
      <c r="U53" s="678" t="str">
        <f t="shared" si="5"/>
        <v>Y</v>
      </c>
      <c r="V53" s="671" t="str">
        <f t="shared" si="6"/>
        <v>SM04 SM24</v>
      </c>
      <c r="W53" s="530"/>
      <c r="X53" s="666">
        <v>0.8</v>
      </c>
      <c r="Y53" s="674">
        <f t="shared" si="2"/>
        <v>0.27191735349814822</v>
      </c>
      <c r="Z53" s="141"/>
      <c r="AA53" s="507"/>
      <c r="AB53" s="135"/>
    </row>
    <row r="54" spans="1:28" ht="15.75">
      <c r="A54" s="136"/>
      <c r="B54" s="711" t="s">
        <v>316</v>
      </c>
      <c r="C54" s="712">
        <v>32</v>
      </c>
      <c r="D54" s="712" t="s">
        <v>918</v>
      </c>
      <c r="E54" s="713"/>
      <c r="F54" s="713"/>
      <c r="G54" s="713">
        <f t="shared" si="0"/>
        <v>1.373319967162365</v>
      </c>
      <c r="H54" s="712" t="s">
        <v>1174</v>
      </c>
      <c r="I54" s="663" t="s">
        <v>1288</v>
      </c>
      <c r="J54" s="714" t="s">
        <v>884</v>
      </c>
      <c r="K54" s="142"/>
      <c r="L54" s="665">
        <v>1</v>
      </c>
      <c r="M54" s="666" t="s">
        <v>1035</v>
      </c>
      <c r="N54" s="667">
        <f t="shared" si="1"/>
        <v>1.373319967162365</v>
      </c>
      <c r="O54" s="666">
        <f t="shared" si="3"/>
        <v>0</v>
      </c>
      <c r="P54" s="666" t="s">
        <v>1352</v>
      </c>
      <c r="Q54" s="666"/>
      <c r="R54" s="666">
        <v>0.99</v>
      </c>
      <c r="S54" s="668">
        <f t="shared" si="4"/>
        <v>1.3733199671623663E-2</v>
      </c>
      <c r="T54" s="142"/>
      <c r="U54" s="678" t="str">
        <f t="shared" si="5"/>
        <v>Y</v>
      </c>
      <c r="V54" s="671" t="str">
        <f t="shared" si="6"/>
        <v>SM04 SM24</v>
      </c>
      <c r="W54" s="530"/>
      <c r="X54" s="666">
        <v>0.8</v>
      </c>
      <c r="Y54" s="674">
        <f t="shared" si="2"/>
        <v>0.27191735349814822</v>
      </c>
      <c r="Z54" s="141"/>
      <c r="AA54" s="507"/>
      <c r="AB54" s="135"/>
    </row>
    <row r="55" spans="1:28" ht="15.75">
      <c r="A55" s="136"/>
      <c r="B55" s="711" t="s">
        <v>317</v>
      </c>
      <c r="C55" s="712">
        <v>33</v>
      </c>
      <c r="D55" s="712" t="s">
        <v>919</v>
      </c>
      <c r="E55" s="713"/>
      <c r="F55" s="713"/>
      <c r="G55" s="713">
        <f t="shared" si="0"/>
        <v>1.373319967162365</v>
      </c>
      <c r="H55" s="712" t="s">
        <v>1174</v>
      </c>
      <c r="I55" s="663" t="s">
        <v>1288</v>
      </c>
      <c r="J55" s="714" t="s">
        <v>884</v>
      </c>
      <c r="K55" s="142"/>
      <c r="L55" s="665">
        <v>1</v>
      </c>
      <c r="M55" s="666" t="s">
        <v>1035</v>
      </c>
      <c r="N55" s="667">
        <f t="shared" ref="N55:N70" si="11">G55*L55</f>
        <v>1.373319967162365</v>
      </c>
      <c r="O55" s="666">
        <f t="shared" si="3"/>
        <v>0</v>
      </c>
      <c r="P55" s="666" t="s">
        <v>1352</v>
      </c>
      <c r="Q55" s="666"/>
      <c r="R55" s="666">
        <v>0.99</v>
      </c>
      <c r="S55" s="668">
        <f t="shared" si="4"/>
        <v>1.3733199671623663E-2</v>
      </c>
      <c r="T55" s="142"/>
      <c r="U55" s="678" t="str">
        <f t="shared" si="5"/>
        <v>Y</v>
      </c>
      <c r="V55" s="671" t="str">
        <f t="shared" si="6"/>
        <v>SM04 SM24</v>
      </c>
      <c r="W55" s="530"/>
      <c r="X55" s="666">
        <v>0.8</v>
      </c>
      <c r="Y55" s="674">
        <f t="shared" si="2"/>
        <v>0.27191735349814822</v>
      </c>
      <c r="Z55" s="141"/>
      <c r="AA55" s="507"/>
      <c r="AB55" s="135"/>
    </row>
    <row r="56" spans="1:28" ht="15.75">
      <c r="A56" s="136"/>
      <c r="B56" s="711" t="s">
        <v>318</v>
      </c>
      <c r="C56" s="712">
        <v>34</v>
      </c>
      <c r="D56" s="712" t="s">
        <v>920</v>
      </c>
      <c r="E56" s="713"/>
      <c r="F56" s="713"/>
      <c r="G56" s="713">
        <f t="shared" si="0"/>
        <v>1.373319967162365</v>
      </c>
      <c r="H56" s="712" t="s">
        <v>1174</v>
      </c>
      <c r="I56" s="663" t="s">
        <v>1288</v>
      </c>
      <c r="J56" s="714" t="s">
        <v>884</v>
      </c>
      <c r="K56" s="142"/>
      <c r="L56" s="665">
        <v>1</v>
      </c>
      <c r="M56" s="666" t="s">
        <v>1035</v>
      </c>
      <c r="N56" s="667">
        <f t="shared" si="11"/>
        <v>1.373319967162365</v>
      </c>
      <c r="O56" s="666">
        <f t="shared" si="3"/>
        <v>0</v>
      </c>
      <c r="P56" s="666" t="s">
        <v>1352</v>
      </c>
      <c r="Q56" s="666"/>
      <c r="R56" s="666">
        <v>0.99</v>
      </c>
      <c r="S56" s="668">
        <f t="shared" si="4"/>
        <v>1.3733199671623663E-2</v>
      </c>
      <c r="T56" s="142"/>
      <c r="U56" s="678" t="str">
        <f t="shared" si="5"/>
        <v>Y</v>
      </c>
      <c r="V56" s="671" t="str">
        <f t="shared" si="6"/>
        <v>SM04 SM24</v>
      </c>
      <c r="W56" s="530"/>
      <c r="X56" s="666">
        <v>0.8</v>
      </c>
      <c r="Y56" s="674">
        <f t="shared" si="2"/>
        <v>0.27191735349814822</v>
      </c>
      <c r="Z56" s="141"/>
      <c r="AA56" s="507"/>
      <c r="AB56" s="135"/>
    </row>
    <row r="57" spans="1:28">
      <c r="A57" s="136"/>
      <c r="B57" s="711" t="s">
        <v>319</v>
      </c>
      <c r="C57" s="712">
        <v>35</v>
      </c>
      <c r="D57" s="712" t="s">
        <v>921</v>
      </c>
      <c r="E57" s="713"/>
      <c r="F57" s="713"/>
      <c r="G57" s="713">
        <f t="shared" si="0"/>
        <v>1.373319967162365</v>
      </c>
      <c r="H57" s="670" t="s">
        <v>1184</v>
      </c>
      <c r="I57" s="712" t="s">
        <v>1242</v>
      </c>
      <c r="J57" s="714" t="s">
        <v>1037</v>
      </c>
      <c r="K57" s="142"/>
      <c r="L57" s="665">
        <v>1</v>
      </c>
      <c r="M57" s="666" t="s">
        <v>78</v>
      </c>
      <c r="N57" s="667">
        <f t="shared" si="11"/>
        <v>1.373319967162365</v>
      </c>
      <c r="O57" s="666">
        <f t="shared" si="3"/>
        <v>1</v>
      </c>
      <c r="P57" s="715" t="s">
        <v>857</v>
      </c>
      <c r="Q57" s="666"/>
      <c r="R57" s="666"/>
      <c r="S57" s="668"/>
      <c r="T57" s="142"/>
      <c r="U57" s="678" t="str">
        <f t="shared" si="5"/>
        <v>N</v>
      </c>
      <c r="V57" s="671" t="str">
        <f t="shared" si="6"/>
        <v/>
      </c>
      <c r="W57" s="530"/>
      <c r="X57" s="666"/>
      <c r="Y57" s="674"/>
      <c r="Z57" s="141"/>
      <c r="AA57" s="517"/>
      <c r="AB57" s="135"/>
    </row>
    <row r="58" spans="1:28">
      <c r="A58" s="136"/>
      <c r="B58" s="711" t="s">
        <v>320</v>
      </c>
      <c r="C58" s="712">
        <v>36</v>
      </c>
      <c r="D58" s="712" t="s">
        <v>922</v>
      </c>
      <c r="E58" s="713"/>
      <c r="F58" s="713"/>
      <c r="G58" s="713">
        <f t="shared" si="0"/>
        <v>1.373319967162365</v>
      </c>
      <c r="H58" s="670" t="s">
        <v>1184</v>
      </c>
      <c r="I58" s="712" t="s">
        <v>1242</v>
      </c>
      <c r="J58" s="714" t="s">
        <v>1037</v>
      </c>
      <c r="K58" s="142"/>
      <c r="L58" s="665">
        <v>1</v>
      </c>
      <c r="M58" s="666" t="s">
        <v>78</v>
      </c>
      <c r="N58" s="667">
        <f t="shared" si="11"/>
        <v>1.373319967162365</v>
      </c>
      <c r="O58" s="666">
        <f t="shared" si="3"/>
        <v>1</v>
      </c>
      <c r="P58" s="715" t="s">
        <v>857</v>
      </c>
      <c r="Q58" s="666"/>
      <c r="R58" s="666"/>
      <c r="S58" s="668"/>
      <c r="T58" s="142"/>
      <c r="U58" s="678" t="str">
        <f t="shared" si="5"/>
        <v>N</v>
      </c>
      <c r="V58" s="671" t="str">
        <f t="shared" si="6"/>
        <v/>
      </c>
      <c r="W58" s="530"/>
      <c r="X58" s="666"/>
      <c r="Y58" s="674"/>
      <c r="Z58" s="141"/>
      <c r="AA58" s="517"/>
      <c r="AB58" s="135"/>
    </row>
    <row r="59" spans="1:28" ht="15.75">
      <c r="A59" s="136"/>
      <c r="B59" s="711" t="s">
        <v>321</v>
      </c>
      <c r="C59" s="712">
        <v>37</v>
      </c>
      <c r="D59" s="712" t="s">
        <v>923</v>
      </c>
      <c r="E59" s="713"/>
      <c r="F59" s="713"/>
      <c r="G59" s="713">
        <f t="shared" si="0"/>
        <v>1.373319967162365</v>
      </c>
      <c r="H59" s="712" t="s">
        <v>1174</v>
      </c>
      <c r="I59" s="663" t="s">
        <v>1288</v>
      </c>
      <c r="J59" s="714" t="s">
        <v>884</v>
      </c>
      <c r="K59" s="142"/>
      <c r="L59" s="665">
        <v>1</v>
      </c>
      <c r="M59" s="666" t="s">
        <v>1035</v>
      </c>
      <c r="N59" s="667">
        <f t="shared" si="11"/>
        <v>1.373319967162365</v>
      </c>
      <c r="O59" s="666">
        <f t="shared" si="3"/>
        <v>0</v>
      </c>
      <c r="P59" s="666" t="s">
        <v>834</v>
      </c>
      <c r="Q59" s="666"/>
      <c r="R59" s="666">
        <v>0.99</v>
      </c>
      <c r="S59" s="668">
        <f t="shared" si="4"/>
        <v>1.3733199671623663E-2</v>
      </c>
      <c r="T59" s="142"/>
      <c r="U59" s="678" t="str">
        <f t="shared" si="5"/>
        <v>Y</v>
      </c>
      <c r="V59" s="671" t="str">
        <f t="shared" si="6"/>
        <v>SM04</v>
      </c>
      <c r="W59" s="530"/>
      <c r="X59" s="666">
        <v>0.8</v>
      </c>
      <c r="Y59" s="674">
        <f t="shared" si="2"/>
        <v>0.27191735349814822</v>
      </c>
      <c r="Z59" s="141"/>
      <c r="AA59" s="507"/>
      <c r="AB59" s="135"/>
    </row>
    <row r="60" spans="1:28" ht="15.75">
      <c r="A60" s="136"/>
      <c r="B60" s="711" t="s">
        <v>322</v>
      </c>
      <c r="C60" s="712">
        <v>38</v>
      </c>
      <c r="D60" s="712" t="s">
        <v>924</v>
      </c>
      <c r="E60" s="713"/>
      <c r="F60" s="713"/>
      <c r="G60" s="713">
        <f t="shared" si="0"/>
        <v>1.373319967162365</v>
      </c>
      <c r="H60" s="663" t="s">
        <v>1192</v>
      </c>
      <c r="I60" s="676" t="s">
        <v>1401</v>
      </c>
      <c r="J60" s="714" t="s">
        <v>884</v>
      </c>
      <c r="K60" s="142"/>
      <c r="L60" s="665">
        <v>1</v>
      </c>
      <c r="M60" s="666" t="s">
        <v>1035</v>
      </c>
      <c r="N60" s="667">
        <f t="shared" si="11"/>
        <v>1.373319967162365</v>
      </c>
      <c r="O60" s="666">
        <f t="shared" si="3"/>
        <v>0</v>
      </c>
      <c r="P60" s="666" t="s">
        <v>1187</v>
      </c>
      <c r="Q60" s="666"/>
      <c r="R60" s="666">
        <v>0.99</v>
      </c>
      <c r="S60" s="668">
        <f t="shared" si="4"/>
        <v>1.3733199671623663E-2</v>
      </c>
      <c r="T60" s="142"/>
      <c r="U60" s="678" t="str">
        <f t="shared" si="5"/>
        <v>Y</v>
      </c>
      <c r="V60" s="671" t="str">
        <f t="shared" si="6"/>
        <v>SM09 SM10 SM13</v>
      </c>
      <c r="W60" s="530"/>
      <c r="X60" s="666">
        <v>1</v>
      </c>
      <c r="Y60" s="674">
        <f t="shared" si="2"/>
        <v>0</v>
      </c>
      <c r="Z60" s="141"/>
      <c r="AA60" s="507" t="s">
        <v>1189</v>
      </c>
      <c r="AB60" s="135"/>
    </row>
    <row r="61" spans="1:28" ht="15.75">
      <c r="A61" s="136"/>
      <c r="B61" s="711" t="s">
        <v>323</v>
      </c>
      <c r="C61" s="712">
        <v>39</v>
      </c>
      <c r="D61" s="712" t="s">
        <v>925</v>
      </c>
      <c r="E61" s="713"/>
      <c r="F61" s="713"/>
      <c r="G61" s="713">
        <f t="shared" si="0"/>
        <v>1.373319967162365</v>
      </c>
      <c r="H61" s="712" t="s">
        <v>1174</v>
      </c>
      <c r="I61" s="663" t="s">
        <v>1288</v>
      </c>
      <c r="J61" s="714" t="s">
        <v>884</v>
      </c>
      <c r="K61" s="142"/>
      <c r="L61" s="665">
        <v>1</v>
      </c>
      <c r="M61" s="666" t="s">
        <v>1035</v>
      </c>
      <c r="N61" s="667">
        <f t="shared" si="11"/>
        <v>1.373319967162365</v>
      </c>
      <c r="O61" s="666">
        <f t="shared" si="3"/>
        <v>0</v>
      </c>
      <c r="P61" s="666" t="s">
        <v>1352</v>
      </c>
      <c r="Q61" s="666"/>
      <c r="R61" s="666">
        <v>0.99</v>
      </c>
      <c r="S61" s="668">
        <f t="shared" si="4"/>
        <v>1.3733199671623663E-2</v>
      </c>
      <c r="T61" s="142"/>
      <c r="U61" s="678" t="str">
        <f t="shared" si="5"/>
        <v>Y</v>
      </c>
      <c r="V61" s="671" t="str">
        <f t="shared" si="6"/>
        <v>SM04 SM24</v>
      </c>
      <c r="W61" s="530"/>
      <c r="X61" s="666">
        <v>0.8</v>
      </c>
      <c r="Y61" s="674">
        <f t="shared" si="2"/>
        <v>0.27191735349814822</v>
      </c>
      <c r="Z61" s="141"/>
      <c r="AA61" s="507"/>
      <c r="AB61" s="135"/>
    </row>
    <row r="62" spans="1:28" ht="15.75">
      <c r="A62" s="136"/>
      <c r="B62" s="711" t="s">
        <v>324</v>
      </c>
      <c r="C62" s="712">
        <v>40</v>
      </c>
      <c r="D62" s="712" t="s">
        <v>926</v>
      </c>
      <c r="E62" s="713"/>
      <c r="F62" s="713"/>
      <c r="G62" s="713">
        <f t="shared" si="0"/>
        <v>1.373319967162365</v>
      </c>
      <c r="H62" s="712" t="s">
        <v>1174</v>
      </c>
      <c r="I62" s="663" t="s">
        <v>1288</v>
      </c>
      <c r="J62" s="714" t="s">
        <v>884</v>
      </c>
      <c r="K62" s="142"/>
      <c r="L62" s="665">
        <v>1</v>
      </c>
      <c r="M62" s="666" t="s">
        <v>1035</v>
      </c>
      <c r="N62" s="667">
        <f t="shared" si="11"/>
        <v>1.373319967162365</v>
      </c>
      <c r="O62" s="666">
        <f t="shared" si="3"/>
        <v>0</v>
      </c>
      <c r="P62" s="666" t="s">
        <v>1352</v>
      </c>
      <c r="Q62" s="666"/>
      <c r="R62" s="666">
        <v>0.99</v>
      </c>
      <c r="S62" s="668">
        <f t="shared" si="4"/>
        <v>1.3733199671623663E-2</v>
      </c>
      <c r="T62" s="142"/>
      <c r="U62" s="678" t="str">
        <f t="shared" si="5"/>
        <v>Y</v>
      </c>
      <c r="V62" s="671" t="str">
        <f t="shared" si="6"/>
        <v>SM04 SM24</v>
      </c>
      <c r="W62" s="530"/>
      <c r="X62" s="666">
        <v>0.8</v>
      </c>
      <c r="Y62" s="674">
        <f t="shared" si="2"/>
        <v>0.27191735349814822</v>
      </c>
      <c r="Z62" s="141"/>
      <c r="AA62" s="507"/>
      <c r="AB62" s="135"/>
    </row>
    <row r="63" spans="1:28" s="72" customFormat="1">
      <c r="A63" s="136"/>
      <c r="B63" s="711" t="s">
        <v>325</v>
      </c>
      <c r="C63" s="712">
        <v>41</v>
      </c>
      <c r="D63" s="712" t="s">
        <v>927</v>
      </c>
      <c r="E63" s="713"/>
      <c r="F63" s="713"/>
      <c r="G63" s="713">
        <f t="shared" si="0"/>
        <v>1.373319967162365</v>
      </c>
      <c r="H63" s="712" t="s">
        <v>1183</v>
      </c>
      <c r="I63" s="712" t="s">
        <v>1242</v>
      </c>
      <c r="J63" s="714" t="s">
        <v>1037</v>
      </c>
      <c r="K63" s="142"/>
      <c r="L63" s="665">
        <v>1</v>
      </c>
      <c r="M63" s="666" t="s">
        <v>78</v>
      </c>
      <c r="N63" s="667">
        <f t="shared" si="11"/>
        <v>1.373319967162365</v>
      </c>
      <c r="O63" s="666">
        <f t="shared" si="3"/>
        <v>1</v>
      </c>
      <c r="P63" s="715" t="s">
        <v>857</v>
      </c>
      <c r="Q63" s="666"/>
      <c r="R63" s="666"/>
      <c r="S63" s="668"/>
      <c r="T63" s="142"/>
      <c r="U63" s="678" t="str">
        <f t="shared" si="5"/>
        <v>N</v>
      </c>
      <c r="V63" s="671" t="str">
        <f t="shared" si="6"/>
        <v/>
      </c>
      <c r="W63" s="530"/>
      <c r="X63" s="666"/>
      <c r="Y63" s="674"/>
      <c r="Z63" s="141"/>
      <c r="AA63" s="517"/>
      <c r="AB63" s="135"/>
    </row>
    <row r="64" spans="1:28" s="72" customFormat="1" ht="31.5">
      <c r="A64" s="136"/>
      <c r="B64" s="711" t="s">
        <v>326</v>
      </c>
      <c r="C64" s="712">
        <v>42</v>
      </c>
      <c r="D64" s="712" t="s">
        <v>928</v>
      </c>
      <c r="E64" s="713"/>
      <c r="F64" s="713"/>
      <c r="G64" s="713">
        <f t="shared" si="0"/>
        <v>1.373319967162365</v>
      </c>
      <c r="H64" s="712" t="s">
        <v>1208</v>
      </c>
      <c r="I64" s="663" t="s">
        <v>1288</v>
      </c>
      <c r="J64" s="714" t="s">
        <v>884</v>
      </c>
      <c r="K64" s="142"/>
      <c r="L64" s="665">
        <v>1</v>
      </c>
      <c r="M64" s="666" t="s">
        <v>1035</v>
      </c>
      <c r="N64" s="667">
        <f t="shared" si="11"/>
        <v>1.373319967162365</v>
      </c>
      <c r="O64" s="666">
        <f t="shared" si="3"/>
        <v>0</v>
      </c>
      <c r="P64" s="666" t="s">
        <v>1202</v>
      </c>
      <c r="Q64" s="666"/>
      <c r="R64" s="666">
        <v>0.9</v>
      </c>
      <c r="S64" s="668">
        <f t="shared" si="4"/>
        <v>0.13733199671623647</v>
      </c>
      <c r="T64" s="142"/>
      <c r="U64" s="678" t="str">
        <f t="shared" si="5"/>
        <v>Y</v>
      </c>
      <c r="V64" s="671" t="str">
        <f t="shared" si="6"/>
        <v>SM14 SM22</v>
      </c>
      <c r="W64" s="530"/>
      <c r="X64" s="666">
        <v>1</v>
      </c>
      <c r="Y64" s="674">
        <f t="shared" si="2"/>
        <v>0</v>
      </c>
      <c r="Z64" s="141"/>
      <c r="AA64" s="507" t="s">
        <v>1203</v>
      </c>
      <c r="AB64" s="135"/>
    </row>
    <row r="65" spans="1:28" s="72" customFormat="1" ht="15.75">
      <c r="A65" s="136"/>
      <c r="B65" s="711" t="s">
        <v>327</v>
      </c>
      <c r="C65" s="712">
        <v>43</v>
      </c>
      <c r="D65" s="712" t="s">
        <v>929</v>
      </c>
      <c r="E65" s="713"/>
      <c r="F65" s="713"/>
      <c r="G65" s="713">
        <f t="shared" si="0"/>
        <v>1.373319967162365</v>
      </c>
      <c r="H65" s="712" t="s">
        <v>1192</v>
      </c>
      <c r="I65" s="676" t="s">
        <v>1401</v>
      </c>
      <c r="J65" s="714" t="s">
        <v>884</v>
      </c>
      <c r="K65" s="142"/>
      <c r="L65" s="665">
        <v>1</v>
      </c>
      <c r="M65" s="666" t="s">
        <v>1035</v>
      </c>
      <c r="N65" s="667">
        <f t="shared" si="11"/>
        <v>1.373319967162365</v>
      </c>
      <c r="O65" s="666">
        <f t="shared" si="3"/>
        <v>0</v>
      </c>
      <c r="P65" s="666" t="s">
        <v>1187</v>
      </c>
      <c r="Q65" s="666"/>
      <c r="R65" s="666">
        <v>0.99</v>
      </c>
      <c r="S65" s="668">
        <f t="shared" si="4"/>
        <v>1.3733199671623663E-2</v>
      </c>
      <c r="T65" s="142"/>
      <c r="U65" s="678" t="str">
        <f t="shared" si="5"/>
        <v>Y</v>
      </c>
      <c r="V65" s="671" t="str">
        <f t="shared" si="6"/>
        <v>SM09 SM10 SM13</v>
      </c>
      <c r="W65" s="530"/>
      <c r="X65" s="666">
        <v>1</v>
      </c>
      <c r="Y65" s="674">
        <f t="shared" si="2"/>
        <v>0</v>
      </c>
      <c r="Z65" s="141"/>
      <c r="AA65" s="507" t="s">
        <v>1189</v>
      </c>
      <c r="AB65" s="135"/>
    </row>
    <row r="66" spans="1:28" s="72" customFormat="1" ht="15.75">
      <c r="A66" s="136"/>
      <c r="B66" s="711" t="s">
        <v>328</v>
      </c>
      <c r="C66" s="712">
        <v>44</v>
      </c>
      <c r="D66" s="712" t="s">
        <v>930</v>
      </c>
      <c r="E66" s="713"/>
      <c r="F66" s="713"/>
      <c r="G66" s="713">
        <f t="shared" si="0"/>
        <v>1.373319967162365</v>
      </c>
      <c r="H66" s="712" t="s">
        <v>1174</v>
      </c>
      <c r="I66" s="663" t="s">
        <v>1288</v>
      </c>
      <c r="J66" s="714" t="s">
        <v>884</v>
      </c>
      <c r="K66" s="142"/>
      <c r="L66" s="665">
        <v>1</v>
      </c>
      <c r="M66" s="666" t="s">
        <v>1035</v>
      </c>
      <c r="N66" s="667">
        <f t="shared" si="11"/>
        <v>1.373319967162365</v>
      </c>
      <c r="O66" s="666">
        <f t="shared" si="3"/>
        <v>0</v>
      </c>
      <c r="P66" s="666" t="s">
        <v>1352</v>
      </c>
      <c r="Q66" s="666"/>
      <c r="R66" s="666">
        <v>0.99</v>
      </c>
      <c r="S66" s="668">
        <f t="shared" si="4"/>
        <v>1.3733199671623663E-2</v>
      </c>
      <c r="T66" s="142"/>
      <c r="U66" s="678" t="str">
        <f t="shared" si="5"/>
        <v>Y</v>
      </c>
      <c r="V66" s="671" t="str">
        <f t="shared" si="6"/>
        <v>SM04 SM24</v>
      </c>
      <c r="W66" s="530"/>
      <c r="X66" s="666">
        <v>0.8</v>
      </c>
      <c r="Y66" s="674">
        <f t="shared" si="2"/>
        <v>0.27191735349814822</v>
      </c>
      <c r="Z66" s="141"/>
      <c r="AA66" s="507"/>
      <c r="AB66" s="135"/>
    </row>
    <row r="67" spans="1:28" s="72" customFormat="1" ht="15.75">
      <c r="A67" s="136"/>
      <c r="B67" s="711" t="s">
        <v>329</v>
      </c>
      <c r="C67" s="712">
        <v>45</v>
      </c>
      <c r="D67" s="712" t="s">
        <v>931</v>
      </c>
      <c r="E67" s="713"/>
      <c r="F67" s="713"/>
      <c r="G67" s="713">
        <f t="shared" si="0"/>
        <v>1.373319967162365</v>
      </c>
      <c r="H67" s="712" t="s">
        <v>1174</v>
      </c>
      <c r="I67" s="663" t="s">
        <v>1288</v>
      </c>
      <c r="J67" s="714" t="s">
        <v>884</v>
      </c>
      <c r="K67" s="142"/>
      <c r="L67" s="665">
        <v>1</v>
      </c>
      <c r="M67" s="666" t="s">
        <v>1035</v>
      </c>
      <c r="N67" s="667">
        <f t="shared" si="11"/>
        <v>1.373319967162365</v>
      </c>
      <c r="O67" s="666">
        <f t="shared" si="3"/>
        <v>0</v>
      </c>
      <c r="P67" s="666" t="s">
        <v>1352</v>
      </c>
      <c r="Q67" s="666"/>
      <c r="R67" s="666">
        <v>0.99</v>
      </c>
      <c r="S67" s="668">
        <f t="shared" si="4"/>
        <v>1.3733199671623663E-2</v>
      </c>
      <c r="T67" s="142"/>
      <c r="U67" s="678" t="str">
        <f t="shared" si="5"/>
        <v>Y</v>
      </c>
      <c r="V67" s="671" t="str">
        <f t="shared" si="6"/>
        <v>SM04 SM24</v>
      </c>
      <c r="W67" s="530"/>
      <c r="X67" s="666">
        <v>0.8</v>
      </c>
      <c r="Y67" s="674">
        <f t="shared" si="2"/>
        <v>0.27191735349814822</v>
      </c>
      <c r="Z67" s="141"/>
      <c r="AA67" s="507"/>
      <c r="AB67" s="135"/>
    </row>
    <row r="68" spans="1:28" s="72" customFormat="1">
      <c r="A68" s="136"/>
      <c r="B68" s="711" t="s">
        <v>330</v>
      </c>
      <c r="C68" s="712">
        <v>46</v>
      </c>
      <c r="D68" s="712" t="s">
        <v>932</v>
      </c>
      <c r="E68" s="713"/>
      <c r="F68" s="713"/>
      <c r="G68" s="713">
        <f t="shared" si="0"/>
        <v>1.373319967162365</v>
      </c>
      <c r="H68" s="670" t="s">
        <v>1184</v>
      </c>
      <c r="I68" s="712" t="s">
        <v>1242</v>
      </c>
      <c r="J68" s="714" t="s">
        <v>1037</v>
      </c>
      <c r="K68" s="142"/>
      <c r="L68" s="665">
        <v>1</v>
      </c>
      <c r="M68" s="666" t="s">
        <v>78</v>
      </c>
      <c r="N68" s="667">
        <f t="shared" si="11"/>
        <v>1.373319967162365</v>
      </c>
      <c r="O68" s="666">
        <f t="shared" si="3"/>
        <v>1</v>
      </c>
      <c r="P68" s="715" t="s">
        <v>857</v>
      </c>
      <c r="Q68" s="666"/>
      <c r="R68" s="666"/>
      <c r="S68" s="668"/>
      <c r="T68" s="142"/>
      <c r="U68" s="678" t="str">
        <f t="shared" si="5"/>
        <v>N</v>
      </c>
      <c r="V68" s="671" t="str">
        <f t="shared" si="6"/>
        <v/>
      </c>
      <c r="W68" s="530"/>
      <c r="X68" s="666"/>
      <c r="Y68" s="674"/>
      <c r="Z68" s="141"/>
      <c r="AA68" s="517"/>
      <c r="AB68" s="135"/>
    </row>
    <row r="69" spans="1:28" s="72" customFormat="1">
      <c r="A69" s="136"/>
      <c r="B69" s="711" t="s">
        <v>331</v>
      </c>
      <c r="C69" s="712">
        <v>47</v>
      </c>
      <c r="D69" s="712" t="s">
        <v>933</v>
      </c>
      <c r="E69" s="713"/>
      <c r="F69" s="713"/>
      <c r="G69" s="713">
        <f t="shared" si="0"/>
        <v>1.373319967162365</v>
      </c>
      <c r="H69" s="670" t="s">
        <v>1184</v>
      </c>
      <c r="I69" s="712" t="s">
        <v>1242</v>
      </c>
      <c r="J69" s="714" t="s">
        <v>1037</v>
      </c>
      <c r="K69" s="142"/>
      <c r="L69" s="665">
        <v>1</v>
      </c>
      <c r="M69" s="666" t="s">
        <v>78</v>
      </c>
      <c r="N69" s="667">
        <f t="shared" si="11"/>
        <v>1.373319967162365</v>
      </c>
      <c r="O69" s="666">
        <f t="shared" si="3"/>
        <v>1</v>
      </c>
      <c r="P69" s="715" t="s">
        <v>857</v>
      </c>
      <c r="Q69" s="666"/>
      <c r="R69" s="666"/>
      <c r="S69" s="668"/>
      <c r="T69" s="142"/>
      <c r="U69" s="678" t="str">
        <f t="shared" si="5"/>
        <v>N</v>
      </c>
      <c r="V69" s="671" t="str">
        <f t="shared" si="6"/>
        <v/>
      </c>
      <c r="W69" s="530"/>
      <c r="X69" s="666"/>
      <c r="Y69" s="674"/>
      <c r="Z69" s="141"/>
      <c r="AA69" s="517"/>
      <c r="AB69" s="135"/>
    </row>
    <row r="70" spans="1:28" s="72" customFormat="1" ht="16.5" thickBot="1">
      <c r="A70" s="136"/>
      <c r="B70" s="716" t="s">
        <v>332</v>
      </c>
      <c r="C70" s="717">
        <v>48</v>
      </c>
      <c r="D70" s="717" t="s">
        <v>934</v>
      </c>
      <c r="E70" s="718"/>
      <c r="F70" s="718"/>
      <c r="G70" s="718">
        <f t="shared" si="0"/>
        <v>1.373319967162365</v>
      </c>
      <c r="H70" s="717" t="s">
        <v>1208</v>
      </c>
      <c r="I70" s="717" t="s">
        <v>1288</v>
      </c>
      <c r="J70" s="719" t="s">
        <v>884</v>
      </c>
      <c r="K70" s="142"/>
      <c r="L70" s="682">
        <v>1</v>
      </c>
      <c r="M70" s="683" t="s">
        <v>1035</v>
      </c>
      <c r="N70" s="684">
        <f t="shared" si="11"/>
        <v>1.373319967162365</v>
      </c>
      <c r="O70" s="666">
        <f t="shared" si="3"/>
        <v>0</v>
      </c>
      <c r="P70" s="683" t="s">
        <v>1202</v>
      </c>
      <c r="Q70" s="683"/>
      <c r="R70" s="683">
        <v>0.9</v>
      </c>
      <c r="S70" s="685">
        <f t="shared" si="4"/>
        <v>0.13733199671623647</v>
      </c>
      <c r="T70" s="142"/>
      <c r="U70" s="686" t="str">
        <f t="shared" si="5"/>
        <v>Y</v>
      </c>
      <c r="V70" s="725" t="str">
        <f>P70</f>
        <v>SM14 SM22</v>
      </c>
      <c r="W70" s="687"/>
      <c r="X70" s="683">
        <v>1</v>
      </c>
      <c r="Y70" s="688">
        <f t="shared" si="2"/>
        <v>0</v>
      </c>
      <c r="Z70" s="141"/>
      <c r="AA70" s="507" t="s">
        <v>1207</v>
      </c>
      <c r="AB70" s="135"/>
    </row>
    <row r="71" spans="1:28">
      <c r="A71" s="135"/>
      <c r="B71" s="137"/>
      <c r="C71" s="137"/>
      <c r="D71" s="454"/>
      <c r="E71" s="454"/>
      <c r="F71" s="456"/>
      <c r="G71" s="455">
        <f>SUM(G23:G70)</f>
        <v>65.919358423793568</v>
      </c>
      <c r="H71" s="137"/>
      <c r="I71" s="137"/>
      <c r="J71" s="137"/>
      <c r="K71" s="135"/>
      <c r="L71" s="137"/>
      <c r="M71" s="454"/>
      <c r="N71" s="455">
        <f>SUM(N23:N70)</f>
        <v>65.919358423793568</v>
      </c>
      <c r="O71" s="457"/>
      <c r="P71" s="137"/>
      <c r="Q71" s="137"/>
      <c r="R71" s="454"/>
      <c r="S71" s="455">
        <f>SUM(S22:S70)</f>
        <v>1.799049156982699</v>
      </c>
      <c r="T71" s="141"/>
      <c r="U71" s="137"/>
      <c r="V71" s="137"/>
      <c r="W71" s="137"/>
      <c r="X71" s="454"/>
      <c r="Y71" s="455">
        <f>SUM(Y22:Y70)</f>
        <v>7.0863310305578029</v>
      </c>
      <c r="Z71" s="141"/>
      <c r="AA71" s="135"/>
      <c r="AB71" s="135"/>
    </row>
    <row r="72" spans="1:28">
      <c r="A72" s="135"/>
      <c r="B72" s="135"/>
      <c r="C72" s="135"/>
      <c r="D72" s="135"/>
      <c r="E72" s="137"/>
      <c r="F72" s="135"/>
      <c r="G72" s="137"/>
      <c r="H72" s="135"/>
      <c r="I72" s="135"/>
      <c r="J72" s="135"/>
      <c r="K72" s="135"/>
      <c r="L72" s="135"/>
      <c r="M72" s="135"/>
      <c r="N72" s="137"/>
      <c r="O72" s="135"/>
      <c r="P72" s="135"/>
      <c r="Q72" s="135"/>
      <c r="R72" s="135"/>
      <c r="S72" s="137"/>
      <c r="T72" s="135"/>
      <c r="U72" s="135"/>
      <c r="V72" s="135"/>
      <c r="W72" s="135"/>
      <c r="X72" s="135"/>
      <c r="Y72" s="137"/>
      <c r="Z72" s="135"/>
      <c r="AA72" s="135"/>
      <c r="AB72" s="135"/>
    </row>
  </sheetData>
  <mergeCells count="18">
    <mergeCell ref="AA39:AA42"/>
    <mergeCell ref="C20:D20"/>
    <mergeCell ref="A11:AB11"/>
    <mergeCell ref="A9:AB9"/>
    <mergeCell ref="X7:AA7"/>
    <mergeCell ref="AA21:AA22"/>
    <mergeCell ref="L19:Y19"/>
    <mergeCell ref="L20:S20"/>
    <mergeCell ref="U20:Y20"/>
    <mergeCell ref="V7:W7"/>
    <mergeCell ref="C16:E16"/>
    <mergeCell ref="C17:E17"/>
    <mergeCell ref="V4:W4"/>
    <mergeCell ref="V5:W5"/>
    <mergeCell ref="V6:W6"/>
    <mergeCell ref="X4:AA4"/>
    <mergeCell ref="X6:AA6"/>
    <mergeCell ref="X5:Z5"/>
  </mergeCells>
  <phoneticPr fontId="3" type="noConversion"/>
  <pageMargins left="0.7" right="0.7" top="0.75" bottom="0.75" header="0.3" footer="0.3"/>
  <pageSetup paperSize="9" scale="12" orientation="portrait" horizontalDpi="1200" verticalDpi="1200" r:id="rId1"/>
  <headerFooter>
    <oddHeader>&amp;C&amp;G</oddHeader>
    <oddFooter>&amp;C&amp;1#&amp;"맑은 고딕"&amp;6&amp;K737373관 윤 / 1628679@mobis.co.kr / 본 문서는 현대모비스의 대외비 정보자산이므로 무단 전재 및 복제할 수 없으며, 위반 시 당사 사규 및 관련 법규에 의해 제재될 수 있습니다.</oddFooter>
  </headerFooter>
  <drawing r:id="rId2"/>
  <legacyDrawingHF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theme="5"/>
  </sheetPr>
  <dimension ref="A1:AG72"/>
  <sheetViews>
    <sheetView topLeftCell="A15" zoomScale="55" zoomScaleNormal="55" zoomScaleSheetLayoutView="100" workbookViewId="0">
      <selection activeCell="H60" sqref="H60"/>
    </sheetView>
  </sheetViews>
  <sheetFormatPr defaultColWidth="9" defaultRowHeight="15"/>
  <cols>
    <col min="1" max="1" width="5.7109375" style="39" customWidth="1"/>
    <col min="2" max="2" width="13.7109375" style="39" bestFit="1" customWidth="1"/>
    <col min="3" max="3" width="8.42578125" style="72" customWidth="1"/>
    <col min="4" max="4" width="9" style="134" bestFit="1" customWidth="1"/>
    <col min="5" max="5" width="13" style="72" customWidth="1"/>
    <col min="6" max="6" width="9.85546875" style="134" customWidth="1"/>
    <col min="7" max="7" width="15" style="72" customWidth="1"/>
    <col min="8" max="8" width="72.42578125" style="72" customWidth="1"/>
    <col min="9" max="9" width="30.5703125" style="23" customWidth="1"/>
    <col min="10" max="10" width="13.85546875" style="39" bestFit="1" customWidth="1"/>
    <col min="11" max="11" width="3.28515625" style="39" customWidth="1"/>
    <col min="12" max="12" width="6.42578125" style="39" bestFit="1" customWidth="1"/>
    <col min="13" max="13" width="12.7109375" style="39" bestFit="1" customWidth="1"/>
    <col min="14" max="14" width="13.7109375" style="39" bestFit="1" customWidth="1"/>
    <col min="15" max="15" width="7.42578125" style="39" bestFit="1" customWidth="1"/>
    <col min="16" max="16" width="23.28515625" style="438" bestFit="1" customWidth="1"/>
    <col min="17" max="17" width="12.42578125" style="39" bestFit="1" customWidth="1"/>
    <col min="18" max="18" width="10.42578125" style="39" bestFit="1" customWidth="1"/>
    <col min="19" max="19" width="13.7109375" style="39" bestFit="1" customWidth="1"/>
    <col min="20" max="20" width="3.140625" style="39" bestFit="1" customWidth="1"/>
    <col min="21" max="21" width="12.7109375" style="39" bestFit="1" customWidth="1"/>
    <col min="22" max="22" width="38" style="39" customWidth="1"/>
    <col min="23" max="23" width="10" style="39" bestFit="1" customWidth="1"/>
    <col min="24" max="24" width="7.42578125" style="39" bestFit="1" customWidth="1"/>
    <col min="25" max="25" width="13.28515625" style="39" bestFit="1" customWidth="1"/>
    <col min="26" max="26" width="4" style="39" customWidth="1"/>
    <col min="27" max="27" width="69.7109375" style="146" customWidth="1"/>
    <col min="28" max="28" width="5.7109375" style="39" customWidth="1"/>
    <col min="29" max="38" width="19.7109375" style="39" customWidth="1"/>
    <col min="39" max="16384" width="9" style="39"/>
  </cols>
  <sheetData>
    <row r="1" spans="1:33">
      <c r="A1" s="135"/>
      <c r="B1" s="135"/>
      <c r="C1" s="135"/>
      <c r="D1" s="135"/>
      <c r="E1" s="135"/>
      <c r="F1" s="135"/>
      <c r="G1" s="135"/>
      <c r="H1" s="135"/>
      <c r="I1" s="135"/>
      <c r="J1" s="135"/>
      <c r="K1" s="135"/>
      <c r="L1" s="135"/>
      <c r="M1" s="135"/>
      <c r="N1" s="135"/>
      <c r="O1" s="135"/>
      <c r="P1" s="135"/>
      <c r="Q1" s="135"/>
      <c r="R1" s="135"/>
      <c r="S1" s="135"/>
      <c r="T1" s="135"/>
      <c r="U1" s="135"/>
      <c r="V1" s="135"/>
      <c r="W1" s="135"/>
      <c r="X1" s="135"/>
      <c r="Y1" s="135"/>
      <c r="Z1" s="135"/>
      <c r="AA1" s="135"/>
      <c r="AB1" s="135"/>
    </row>
    <row r="2" spans="1:33">
      <c r="A2" s="135"/>
      <c r="B2" s="135"/>
      <c r="C2" s="135"/>
      <c r="D2" s="135"/>
      <c r="E2" s="135"/>
      <c r="F2" s="135"/>
      <c r="G2" s="135"/>
      <c r="H2" s="135"/>
      <c r="I2" s="135"/>
      <c r="J2" s="135"/>
      <c r="K2" s="135"/>
      <c r="L2" s="135"/>
      <c r="M2" s="135"/>
      <c r="N2" s="135"/>
      <c r="O2" s="135"/>
      <c r="P2" s="135"/>
      <c r="Q2" s="135"/>
      <c r="R2" s="135"/>
      <c r="S2" s="135"/>
      <c r="T2" s="135"/>
      <c r="U2" s="135"/>
      <c r="V2" s="135"/>
      <c r="W2" s="135"/>
      <c r="X2" s="135"/>
      <c r="Y2" s="135"/>
      <c r="Z2" s="135"/>
      <c r="AA2" s="135"/>
      <c r="AB2" s="135"/>
    </row>
    <row r="3" spans="1:33">
      <c r="A3" s="135"/>
      <c r="B3" s="135"/>
      <c r="C3" s="135"/>
      <c r="D3" s="135"/>
      <c r="E3" s="135"/>
      <c r="F3" s="135"/>
      <c r="G3" s="135"/>
      <c r="H3" s="135"/>
      <c r="I3" s="135"/>
      <c r="J3" s="135"/>
      <c r="K3" s="135"/>
      <c r="L3" s="135"/>
      <c r="M3" s="135"/>
      <c r="N3" s="135"/>
      <c r="O3" s="135"/>
      <c r="P3" s="135"/>
      <c r="Q3" s="135"/>
      <c r="R3" s="135"/>
      <c r="S3" s="135"/>
      <c r="T3" s="135"/>
      <c r="U3" s="135"/>
      <c r="V3" s="126"/>
      <c r="W3" s="126"/>
      <c r="X3" s="126"/>
      <c r="Y3" s="126"/>
      <c r="Z3" s="126"/>
      <c r="AA3" s="126"/>
      <c r="AB3" s="135"/>
    </row>
    <row r="4" spans="1:33" ht="15.75">
      <c r="A4" s="135"/>
      <c r="B4" s="135"/>
      <c r="C4" s="135"/>
      <c r="D4" s="135"/>
      <c r="E4" s="135"/>
      <c r="F4" s="135"/>
      <c r="G4" s="135"/>
      <c r="H4" s="135"/>
      <c r="I4" s="135"/>
      <c r="J4" s="135"/>
      <c r="K4" s="135"/>
      <c r="L4" s="135"/>
      <c r="M4" s="135"/>
      <c r="N4" s="135"/>
      <c r="O4" s="135"/>
      <c r="P4" s="135"/>
      <c r="Q4" s="135"/>
      <c r="R4" s="135"/>
      <c r="S4" s="135"/>
      <c r="T4" s="135"/>
      <c r="U4" s="135"/>
      <c r="V4" s="951" t="s">
        <v>6</v>
      </c>
      <c r="W4" s="952"/>
      <c r="X4" s="823" t="str">
        <f>Cover!$F$18</f>
        <v>ELM-803-FS-0001</v>
      </c>
      <c r="Y4" s="953"/>
      <c r="Z4" s="953"/>
      <c r="AA4" s="824"/>
      <c r="AB4" s="141"/>
    </row>
    <row r="5" spans="1:33" ht="15.75">
      <c r="A5" s="135"/>
      <c r="B5" s="135"/>
      <c r="C5" s="135"/>
      <c r="D5" s="135"/>
      <c r="E5" s="135"/>
      <c r="F5" s="135"/>
      <c r="G5" s="135"/>
      <c r="H5" s="135"/>
      <c r="I5" s="135"/>
      <c r="J5" s="135"/>
      <c r="K5" s="135"/>
      <c r="L5" s="135"/>
      <c r="M5" s="135"/>
      <c r="N5" s="135"/>
      <c r="O5" s="135"/>
      <c r="P5" s="135"/>
      <c r="Q5" s="135"/>
      <c r="R5" s="135"/>
      <c r="S5" s="135"/>
      <c r="T5" s="135"/>
      <c r="U5" s="135"/>
      <c r="V5" s="954" t="s">
        <v>7</v>
      </c>
      <c r="W5" s="955"/>
      <c r="X5" s="825" t="str">
        <f>Cover!$F$19</f>
        <v>Safety Manager</v>
      </c>
      <c r="Y5" s="956"/>
      <c r="Z5" s="957"/>
      <c r="AA5" s="40" t="str">
        <f>Cover!$G$19</f>
        <v>I. Kök</v>
      </c>
      <c r="AB5" s="141"/>
    </row>
    <row r="6" spans="1:33" ht="15.75">
      <c r="A6" s="135"/>
      <c r="B6" s="135"/>
      <c r="C6" s="135"/>
      <c r="D6" s="135"/>
      <c r="E6" s="135"/>
      <c r="F6" s="135"/>
      <c r="G6" s="135"/>
      <c r="H6" s="135"/>
      <c r="I6" s="135"/>
      <c r="J6" s="135"/>
      <c r="K6" s="135"/>
      <c r="L6" s="135"/>
      <c r="M6" s="135"/>
      <c r="N6" s="135"/>
      <c r="O6" s="135"/>
      <c r="P6" s="135"/>
      <c r="Q6" s="135"/>
      <c r="R6" s="135"/>
      <c r="S6" s="135"/>
      <c r="T6" s="135"/>
      <c r="U6" s="135"/>
      <c r="V6" s="954" t="s">
        <v>8</v>
      </c>
      <c r="W6" s="955"/>
      <c r="X6" s="825" t="str">
        <f>Cover!$F$20</f>
        <v>B2</v>
      </c>
      <c r="Y6" s="956"/>
      <c r="Z6" s="956"/>
      <c r="AA6" s="826"/>
      <c r="AB6" s="141"/>
    </row>
    <row r="7" spans="1:33" ht="15.75">
      <c r="A7" s="135"/>
      <c r="B7" s="135"/>
      <c r="C7" s="135"/>
      <c r="D7" s="135"/>
      <c r="E7" s="135"/>
      <c r="F7" s="135"/>
      <c r="G7" s="135"/>
      <c r="H7" s="135"/>
      <c r="I7" s="135"/>
      <c r="J7" s="135"/>
      <c r="K7" s="135"/>
      <c r="L7" s="135"/>
      <c r="M7" s="135"/>
      <c r="N7" s="135"/>
      <c r="O7" s="135"/>
      <c r="P7" s="135"/>
      <c r="Q7" s="135"/>
      <c r="R7" s="135"/>
      <c r="S7" s="135"/>
      <c r="T7" s="135"/>
      <c r="U7" s="135"/>
      <c r="V7" s="958" t="s">
        <v>9</v>
      </c>
      <c r="W7" s="959"/>
      <c r="X7" s="827" t="str">
        <f>Cover!$F$21</f>
        <v>approved after review</v>
      </c>
      <c r="Y7" s="960"/>
      <c r="Z7" s="960"/>
      <c r="AA7" s="828"/>
      <c r="AB7" s="141"/>
    </row>
    <row r="8" spans="1:33">
      <c r="A8" s="135"/>
      <c r="B8" s="135"/>
      <c r="C8" s="135"/>
      <c r="D8" s="135"/>
      <c r="E8" s="135"/>
      <c r="F8" s="135"/>
      <c r="G8" s="135"/>
      <c r="H8" s="135"/>
      <c r="I8" s="135"/>
      <c r="J8" s="135"/>
      <c r="K8" s="135"/>
      <c r="L8" s="135"/>
      <c r="M8" s="135"/>
      <c r="N8" s="135"/>
      <c r="O8" s="135"/>
      <c r="P8" s="135"/>
      <c r="Q8" s="135"/>
      <c r="R8" s="135"/>
      <c r="S8" s="135"/>
      <c r="T8" s="135"/>
      <c r="U8" s="135"/>
      <c r="V8" s="137"/>
      <c r="W8" s="137"/>
      <c r="X8" s="137"/>
      <c r="Y8" s="137"/>
      <c r="Z8" s="137"/>
      <c r="AA8" s="137"/>
      <c r="AB8" s="135"/>
    </row>
    <row r="9" spans="1:33" s="138" customFormat="1" ht="46.5">
      <c r="A9" s="923" t="s">
        <v>22</v>
      </c>
      <c r="B9" s="923"/>
      <c r="C9" s="923"/>
      <c r="D9" s="923"/>
      <c r="E9" s="923"/>
      <c r="F9" s="923"/>
      <c r="G9" s="923"/>
      <c r="H9" s="923"/>
      <c r="I9" s="923"/>
      <c r="J9" s="923"/>
      <c r="K9" s="923"/>
      <c r="L9" s="923"/>
      <c r="M9" s="923"/>
      <c r="N9" s="923"/>
      <c r="O9" s="923"/>
      <c r="P9" s="923"/>
      <c r="Q9" s="923"/>
      <c r="R9" s="923"/>
      <c r="S9" s="923"/>
      <c r="T9" s="923"/>
      <c r="U9" s="923"/>
      <c r="V9" s="923"/>
      <c r="W9" s="923"/>
      <c r="X9" s="923"/>
      <c r="Y9" s="923"/>
      <c r="Z9" s="923"/>
      <c r="AA9" s="923"/>
      <c r="AB9" s="949"/>
      <c r="AC9" s="124"/>
      <c r="AD9" s="124"/>
      <c r="AE9" s="124"/>
      <c r="AF9" s="124"/>
      <c r="AG9" s="124"/>
    </row>
    <row r="10" spans="1:33">
      <c r="A10" s="126"/>
      <c r="B10" s="126"/>
      <c r="C10" s="126"/>
      <c r="D10" s="126"/>
      <c r="E10" s="126"/>
      <c r="F10" s="126"/>
      <c r="G10" s="126"/>
      <c r="H10" s="126"/>
      <c r="I10" s="126"/>
      <c r="J10" s="126"/>
      <c r="K10" s="126"/>
      <c r="L10" s="126"/>
      <c r="M10" s="126"/>
      <c r="N10" s="126"/>
      <c r="O10" s="126"/>
      <c r="P10" s="126"/>
      <c r="Q10" s="126"/>
      <c r="R10" s="126"/>
      <c r="S10" s="126"/>
      <c r="T10" s="126"/>
      <c r="U10" s="126"/>
      <c r="V10" s="126"/>
      <c r="W10" s="126"/>
      <c r="X10" s="126"/>
      <c r="Y10" s="126"/>
      <c r="Z10" s="127"/>
      <c r="AA10" s="135"/>
      <c r="AB10" s="135"/>
      <c r="AC10" s="139"/>
      <c r="AD10" s="139"/>
      <c r="AE10" s="139"/>
      <c r="AF10" s="139"/>
      <c r="AG10" s="139"/>
    </row>
    <row r="11" spans="1:33" s="138" customFormat="1" ht="36">
      <c r="A11" s="921" t="str">
        <f>Cover!A9</f>
        <v>ID803 - Vega</v>
      </c>
      <c r="B11" s="922"/>
      <c r="C11" s="922"/>
      <c r="D11" s="922"/>
      <c r="E11" s="922"/>
      <c r="F11" s="922"/>
      <c r="G11" s="922"/>
      <c r="H11" s="922"/>
      <c r="I11" s="922"/>
      <c r="J11" s="922"/>
      <c r="K11" s="922"/>
      <c r="L11" s="922"/>
      <c r="M11" s="922"/>
      <c r="N11" s="922"/>
      <c r="O11" s="922"/>
      <c r="P11" s="922"/>
      <c r="Q11" s="922"/>
      <c r="R11" s="922"/>
      <c r="S11" s="922"/>
      <c r="T11" s="922"/>
      <c r="U11" s="922"/>
      <c r="V11" s="922"/>
      <c r="W11" s="922"/>
      <c r="X11" s="922"/>
      <c r="Y11" s="922"/>
      <c r="Z11" s="922"/>
      <c r="AA11" s="922"/>
      <c r="AB11" s="948"/>
      <c r="AC11" s="730"/>
      <c r="AD11" s="730"/>
      <c r="AE11" s="730"/>
      <c r="AF11" s="730"/>
      <c r="AG11" s="730"/>
    </row>
    <row r="12" spans="1:33">
      <c r="A12" s="135"/>
      <c r="B12" s="135"/>
      <c r="C12" s="135" t="s">
        <v>1065</v>
      </c>
      <c r="D12" s="135"/>
      <c r="E12" s="135"/>
      <c r="F12" s="135"/>
      <c r="G12" s="135"/>
      <c r="H12" s="135"/>
      <c r="I12" s="135"/>
      <c r="J12" s="135"/>
      <c r="K12" s="135"/>
      <c r="L12" s="135"/>
      <c r="M12" s="135"/>
      <c r="N12" s="135"/>
      <c r="O12" s="135"/>
      <c r="P12" s="135"/>
      <c r="Q12" s="135"/>
      <c r="R12" s="135"/>
      <c r="S12" s="135"/>
      <c r="T12" s="135"/>
      <c r="U12" s="135"/>
      <c r="V12" s="135"/>
      <c r="W12" s="135"/>
      <c r="X12" s="135"/>
      <c r="Y12" s="135"/>
      <c r="Z12" s="135"/>
      <c r="AA12" s="137"/>
      <c r="AB12" s="135"/>
    </row>
    <row r="13" spans="1:33">
      <c r="A13" s="135"/>
      <c r="B13" s="135"/>
      <c r="C13" s="135"/>
      <c r="D13" s="135"/>
      <c r="E13" s="135"/>
      <c r="F13" s="135"/>
      <c r="G13" s="135"/>
      <c r="H13" s="135"/>
      <c r="I13" s="135"/>
      <c r="J13" s="135"/>
      <c r="K13" s="135"/>
      <c r="L13" s="135"/>
      <c r="M13" s="135"/>
      <c r="N13" s="135"/>
      <c r="O13" s="135"/>
      <c r="P13" s="135"/>
      <c r="Q13" s="135"/>
      <c r="R13" s="135"/>
      <c r="S13" s="135"/>
      <c r="T13" s="135"/>
      <c r="U13" s="135"/>
      <c r="V13" s="135"/>
      <c r="W13" s="135"/>
      <c r="X13" s="135"/>
      <c r="Y13" s="135"/>
      <c r="Z13" s="135"/>
      <c r="AA13" s="135"/>
      <c r="AB13" s="135"/>
    </row>
    <row r="14" spans="1:33">
      <c r="A14" s="135"/>
      <c r="B14" s="135"/>
      <c r="C14" s="135"/>
      <c r="D14" s="135"/>
      <c r="E14" s="135"/>
      <c r="F14" s="135"/>
      <c r="G14" s="135"/>
      <c r="H14" s="126"/>
      <c r="I14" s="126"/>
      <c r="J14" s="135"/>
      <c r="K14" s="135"/>
      <c r="L14" s="135"/>
      <c r="M14" s="135"/>
      <c r="N14" s="135"/>
      <c r="O14" s="135"/>
      <c r="P14" s="135"/>
      <c r="Q14" s="135"/>
      <c r="R14" s="135"/>
      <c r="S14" s="135"/>
      <c r="T14" s="135"/>
      <c r="U14" s="135"/>
      <c r="V14" s="135"/>
      <c r="W14" s="135"/>
      <c r="X14" s="135"/>
      <c r="Y14" s="135"/>
      <c r="Z14" s="135"/>
      <c r="AA14" s="135"/>
      <c r="AB14" s="135"/>
    </row>
    <row r="15" spans="1:33">
      <c r="A15" s="135"/>
      <c r="B15" s="126"/>
      <c r="C15" s="126"/>
      <c r="D15" s="126"/>
      <c r="E15" s="126"/>
      <c r="F15" s="135"/>
      <c r="G15" s="135"/>
      <c r="H15" s="131" t="s">
        <v>267</v>
      </c>
      <c r="I15" s="140">
        <f>SUM(N23:N70)</f>
        <v>2.4414577193997591</v>
      </c>
      <c r="J15" s="141"/>
      <c r="K15" s="135"/>
      <c r="L15" s="135"/>
      <c r="M15" s="135"/>
      <c r="N15" s="135"/>
      <c r="O15" s="135"/>
      <c r="P15" s="135"/>
      <c r="Q15" s="135"/>
      <c r="R15" s="135"/>
      <c r="S15" s="135"/>
      <c r="T15" s="135"/>
      <c r="U15" s="135"/>
      <c r="V15" s="135"/>
      <c r="W15" s="135"/>
      <c r="X15" s="135"/>
      <c r="Y15" s="135"/>
      <c r="Z15" s="135"/>
      <c r="AA15" s="135"/>
      <c r="AB15" s="135"/>
    </row>
    <row r="16" spans="1:33">
      <c r="A16" s="136"/>
      <c r="B16" s="939" t="s">
        <v>1215</v>
      </c>
      <c r="C16" s="939"/>
      <c r="D16" s="939"/>
      <c r="E16" s="131">
        <f>'Core Block FIT rate'!G22/3</f>
        <v>2.4414577193997604</v>
      </c>
      <c r="F16" s="141"/>
      <c r="G16" s="135"/>
      <c r="H16" s="131" t="s">
        <v>268</v>
      </c>
      <c r="I16" s="140">
        <f>SUM(S23:S70)</f>
        <v>1.5259110746248512E-2</v>
      </c>
      <c r="J16" s="141"/>
      <c r="K16" s="135"/>
      <c r="L16" s="135"/>
      <c r="M16" s="135"/>
      <c r="N16" s="135"/>
      <c r="O16" s="135"/>
      <c r="P16" s="135"/>
      <c r="Q16" s="135"/>
      <c r="R16" s="135"/>
      <c r="S16" s="135"/>
      <c r="T16" s="135"/>
      <c r="U16" s="135"/>
      <c r="V16" s="135"/>
      <c r="W16" s="135"/>
      <c r="X16" s="135"/>
      <c r="Y16" s="135"/>
      <c r="Z16" s="135"/>
      <c r="AA16" s="135"/>
      <c r="AB16" s="135"/>
    </row>
    <row r="17" spans="1:28">
      <c r="A17" s="136"/>
      <c r="B17" s="939" t="s">
        <v>645</v>
      </c>
      <c r="C17" s="939"/>
      <c r="D17" s="939"/>
      <c r="E17" s="131">
        <v>48</v>
      </c>
      <c r="F17" s="141"/>
      <c r="G17" s="135"/>
      <c r="H17" s="131" t="s">
        <v>270</v>
      </c>
      <c r="I17" s="140">
        <f>SUM(Y23:Y70)</f>
        <v>0.18127823566543214</v>
      </c>
      <c r="J17" s="141"/>
      <c r="K17" s="135"/>
      <c r="L17" s="135"/>
      <c r="M17" s="135"/>
      <c r="N17" s="135"/>
      <c r="O17" s="135"/>
      <c r="P17" s="135"/>
      <c r="Q17" s="135"/>
      <c r="R17" s="135"/>
      <c r="S17" s="135"/>
      <c r="T17" s="135"/>
      <c r="U17" s="135"/>
      <c r="V17" s="135"/>
      <c r="W17" s="135"/>
      <c r="X17" s="135"/>
      <c r="Y17" s="135"/>
      <c r="Z17" s="135"/>
      <c r="AA17" s="135"/>
      <c r="AB17" s="135"/>
    </row>
    <row r="18" spans="1:28">
      <c r="A18" s="135"/>
      <c r="B18" s="137"/>
      <c r="C18" s="137"/>
      <c r="D18" s="137"/>
      <c r="E18" s="137"/>
      <c r="F18" s="135"/>
      <c r="G18" s="135"/>
      <c r="H18" s="135"/>
      <c r="I18" s="135"/>
      <c r="J18" s="135"/>
      <c r="K18" s="135"/>
      <c r="L18" s="135"/>
      <c r="M18" s="135"/>
      <c r="N18" s="135"/>
      <c r="O18" s="135"/>
      <c r="P18" s="135"/>
      <c r="Q18" s="135"/>
      <c r="R18" s="135"/>
      <c r="S18" s="135"/>
      <c r="T18" s="135"/>
      <c r="U18" s="135"/>
      <c r="V18" s="135"/>
      <c r="W18" s="135"/>
      <c r="X18" s="135"/>
      <c r="Y18" s="135"/>
      <c r="Z18" s="135"/>
      <c r="AA18" s="135"/>
      <c r="AB18" s="135"/>
    </row>
    <row r="19" spans="1:28">
      <c r="A19" s="135"/>
      <c r="B19" s="135"/>
      <c r="C19" s="126"/>
      <c r="D19" s="126"/>
      <c r="E19" s="126"/>
      <c r="F19" s="126"/>
      <c r="G19" s="135"/>
      <c r="H19" s="135"/>
      <c r="I19" s="135"/>
      <c r="J19" s="135"/>
      <c r="K19" s="135"/>
      <c r="L19" s="935" t="s">
        <v>140</v>
      </c>
      <c r="M19" s="935"/>
      <c r="N19" s="935"/>
      <c r="O19" s="935"/>
      <c r="P19" s="935"/>
      <c r="Q19" s="935"/>
      <c r="R19" s="935"/>
      <c r="S19" s="935"/>
      <c r="T19" s="935"/>
      <c r="U19" s="935"/>
      <c r="V19" s="935"/>
      <c r="W19" s="935"/>
      <c r="X19" s="935"/>
      <c r="Y19" s="935"/>
      <c r="Z19" s="135"/>
      <c r="AA19" s="135"/>
      <c r="AB19" s="135"/>
    </row>
    <row r="20" spans="1:28" ht="15.75" thickBot="1">
      <c r="A20" s="135"/>
      <c r="B20" s="127"/>
      <c r="C20" s="961" t="s">
        <v>518</v>
      </c>
      <c r="D20" s="961"/>
      <c r="E20" s="961" t="s">
        <v>519</v>
      </c>
      <c r="F20" s="961"/>
      <c r="G20" s="437"/>
      <c r="H20" s="126"/>
      <c r="I20" s="126"/>
      <c r="J20" s="126"/>
      <c r="K20" s="135"/>
      <c r="L20" s="937" t="s">
        <v>142</v>
      </c>
      <c r="M20" s="938"/>
      <c r="N20" s="938"/>
      <c r="O20" s="938"/>
      <c r="P20" s="938"/>
      <c r="Q20" s="938"/>
      <c r="R20" s="938"/>
      <c r="S20" s="938"/>
      <c r="T20" s="135"/>
      <c r="U20" s="937" t="s">
        <v>271</v>
      </c>
      <c r="V20" s="937"/>
      <c r="W20" s="937"/>
      <c r="X20" s="937"/>
      <c r="Y20" s="937"/>
      <c r="Z20" s="135"/>
      <c r="AA20" s="135"/>
      <c r="AB20" s="135"/>
    </row>
    <row r="21" spans="1:28" ht="90.75" thickBot="1">
      <c r="A21" s="136"/>
      <c r="B21" s="443" t="s">
        <v>563</v>
      </c>
      <c r="C21" s="444" t="s">
        <v>564</v>
      </c>
      <c r="D21" s="444" t="s">
        <v>565</v>
      </c>
      <c r="E21" s="444" t="s">
        <v>566</v>
      </c>
      <c r="F21" s="444" t="s">
        <v>565</v>
      </c>
      <c r="G21" s="444" t="s">
        <v>567</v>
      </c>
      <c r="H21" s="444" t="s">
        <v>568</v>
      </c>
      <c r="I21" s="444" t="s">
        <v>569</v>
      </c>
      <c r="J21" s="445" t="s">
        <v>576</v>
      </c>
      <c r="K21" s="142"/>
      <c r="L21" s="443" t="s">
        <v>570</v>
      </c>
      <c r="M21" s="444" t="s">
        <v>551</v>
      </c>
      <c r="N21" s="444" t="s">
        <v>552</v>
      </c>
      <c r="O21" s="444" t="s">
        <v>553</v>
      </c>
      <c r="P21" s="444" t="s">
        <v>571</v>
      </c>
      <c r="Q21" s="444" t="s">
        <v>555</v>
      </c>
      <c r="R21" s="444" t="s">
        <v>1066</v>
      </c>
      <c r="S21" s="445" t="s">
        <v>1067</v>
      </c>
      <c r="T21" s="142" t="s">
        <v>68</v>
      </c>
      <c r="U21" s="443" t="s">
        <v>605</v>
      </c>
      <c r="V21" s="444" t="s">
        <v>604</v>
      </c>
      <c r="W21" s="444" t="s">
        <v>603</v>
      </c>
      <c r="X21" s="444" t="s">
        <v>1068</v>
      </c>
      <c r="Y21" s="445" t="s">
        <v>602</v>
      </c>
      <c r="Z21" s="141"/>
      <c r="AA21" s="950" t="s">
        <v>601</v>
      </c>
      <c r="AB21" s="135"/>
    </row>
    <row r="22" spans="1:28" s="143" customFormat="1" ht="160.5" thickBot="1">
      <c r="A22" s="136"/>
      <c r="B22" s="478" t="s">
        <v>272</v>
      </c>
      <c r="C22" s="479" t="s">
        <v>273</v>
      </c>
      <c r="D22" s="479" t="s">
        <v>274</v>
      </c>
      <c r="E22" s="479" t="s">
        <v>273</v>
      </c>
      <c r="F22" s="479" t="s">
        <v>274</v>
      </c>
      <c r="G22" s="479" t="s">
        <v>639</v>
      </c>
      <c r="H22" s="479" t="s">
        <v>277</v>
      </c>
      <c r="I22" s="479" t="s">
        <v>278</v>
      </c>
      <c r="J22" s="480" t="s">
        <v>1175</v>
      </c>
      <c r="K22" s="142"/>
      <c r="L22" s="478" t="s">
        <v>5</v>
      </c>
      <c r="M22" s="483" t="s">
        <v>0</v>
      </c>
      <c r="N22" s="479" t="s">
        <v>1</v>
      </c>
      <c r="O22" s="479" t="s">
        <v>643</v>
      </c>
      <c r="P22" s="483" t="s">
        <v>333</v>
      </c>
      <c r="Q22" s="479" t="s">
        <v>281</v>
      </c>
      <c r="R22" s="479" t="s">
        <v>152</v>
      </c>
      <c r="S22" s="480" t="s">
        <v>2</v>
      </c>
      <c r="T22" s="142"/>
      <c r="U22" s="478" t="s">
        <v>282</v>
      </c>
      <c r="V22" s="479" t="s">
        <v>283</v>
      </c>
      <c r="W22" s="479" t="s">
        <v>284</v>
      </c>
      <c r="X22" s="479" t="s">
        <v>3</v>
      </c>
      <c r="Y22" s="480" t="s">
        <v>4</v>
      </c>
      <c r="Z22" s="141"/>
      <c r="AA22" s="950"/>
      <c r="AB22" s="135"/>
    </row>
    <row r="23" spans="1:28">
      <c r="A23" s="136"/>
      <c r="B23" s="720" t="s">
        <v>334</v>
      </c>
      <c r="C23" s="690">
        <v>1</v>
      </c>
      <c r="D23" s="691" t="s">
        <v>890</v>
      </c>
      <c r="E23" s="690">
        <v>2</v>
      </c>
      <c r="F23" s="691" t="s">
        <v>891</v>
      </c>
      <c r="G23" s="706">
        <f>$E$16/$E$17</f>
        <v>5.0863702487495006E-2</v>
      </c>
      <c r="H23" s="691" t="s">
        <v>1172</v>
      </c>
      <c r="I23" s="706" t="s">
        <v>1172</v>
      </c>
      <c r="J23" s="708" t="s">
        <v>884</v>
      </c>
      <c r="K23" s="142"/>
      <c r="L23" s="657">
        <v>1</v>
      </c>
      <c r="M23" s="728" t="s">
        <v>1035</v>
      </c>
      <c r="N23" s="695">
        <f t="shared" ref="N23:N65" si="0">G23*L23</f>
        <v>5.0863702487495006E-2</v>
      </c>
      <c r="O23" s="728">
        <f>IF(M23="N",100%,0%)</f>
        <v>0</v>
      </c>
      <c r="P23" s="691" t="s">
        <v>1182</v>
      </c>
      <c r="Q23" s="695"/>
      <c r="R23" s="696">
        <v>0.99</v>
      </c>
      <c r="S23" s="710">
        <f t="shared" ref="S23" si="1">IF(M23="N",0,N23*(1-O23)*(1-R23))</f>
        <v>5.0863702487495056E-4</v>
      </c>
      <c r="T23" s="142"/>
      <c r="U23" s="694" t="str">
        <f>M23</f>
        <v>Y</v>
      </c>
      <c r="V23" s="691" t="str">
        <f>P23</f>
        <v>SM05 SM06</v>
      </c>
      <c r="W23" s="695"/>
      <c r="X23" s="696">
        <v>0.8</v>
      </c>
      <c r="Y23" s="660">
        <f t="shared" ref="Y23:Y43" si="2">IF(U23="N",0,(N23*(1-O23)-S23)*(1-X23))</f>
        <v>1.0071013092524009E-2</v>
      </c>
      <c r="Z23" s="141"/>
      <c r="AA23" s="517" t="s">
        <v>1190</v>
      </c>
      <c r="AB23" s="135"/>
    </row>
    <row r="24" spans="1:28">
      <c r="A24" s="136"/>
      <c r="B24" s="721" t="s">
        <v>335</v>
      </c>
      <c r="C24" s="131">
        <v>2</v>
      </c>
      <c r="D24" s="670" t="s">
        <v>891</v>
      </c>
      <c r="E24" s="131">
        <v>3</v>
      </c>
      <c r="F24" s="670" t="s">
        <v>892</v>
      </c>
      <c r="G24" s="712">
        <f t="shared" ref="G24:G70" si="3">$E$16/$E$17</f>
        <v>5.0863702487495006E-2</v>
      </c>
      <c r="H24" s="663" t="s">
        <v>1172</v>
      </c>
      <c r="I24" s="663" t="s">
        <v>1172</v>
      </c>
      <c r="J24" s="714" t="s">
        <v>884</v>
      </c>
      <c r="K24" s="142"/>
      <c r="L24" s="665">
        <v>1</v>
      </c>
      <c r="M24" s="671" t="s">
        <v>1035</v>
      </c>
      <c r="N24" s="530">
        <f t="shared" ref="N24:N27" si="4">G24*L24</f>
        <v>5.0863702487495006E-2</v>
      </c>
      <c r="O24" s="671">
        <f t="shared" ref="O24:O27" si="5">IF(M24="N",100%,0%)</f>
        <v>0</v>
      </c>
      <c r="P24" s="693" t="s">
        <v>1182</v>
      </c>
      <c r="Q24" s="530"/>
      <c r="R24" s="673">
        <v>0.99</v>
      </c>
      <c r="S24" s="674">
        <f t="shared" ref="S24:S26" si="6">IF(M24="N",0,N24*(1-O24)*(1-R24))</f>
        <v>5.0863702487495056E-4</v>
      </c>
      <c r="T24" s="142"/>
      <c r="U24" s="698" t="str">
        <f t="shared" ref="U24:U65" si="7">M24</f>
        <v>Y</v>
      </c>
      <c r="V24" s="670" t="str">
        <f>P24</f>
        <v>SM05 SM06</v>
      </c>
      <c r="W24" s="530"/>
      <c r="X24" s="673">
        <v>0.8</v>
      </c>
      <c r="Y24" s="668">
        <f t="shared" si="2"/>
        <v>1.0071013092524009E-2</v>
      </c>
      <c r="Z24" s="141"/>
      <c r="AA24" s="517" t="s">
        <v>1191</v>
      </c>
      <c r="AB24" s="135"/>
    </row>
    <row r="25" spans="1:28">
      <c r="A25" s="136"/>
      <c r="B25" s="721" t="s">
        <v>336</v>
      </c>
      <c r="C25" s="131">
        <v>3</v>
      </c>
      <c r="D25" s="670" t="s">
        <v>892</v>
      </c>
      <c r="E25" s="131">
        <v>4</v>
      </c>
      <c r="F25" s="670" t="s">
        <v>893</v>
      </c>
      <c r="G25" s="712">
        <f t="shared" si="3"/>
        <v>5.0863702487495006E-2</v>
      </c>
      <c r="H25" s="663" t="s">
        <v>1172</v>
      </c>
      <c r="I25" s="663" t="s">
        <v>1172</v>
      </c>
      <c r="J25" s="714" t="s">
        <v>884</v>
      </c>
      <c r="K25" s="142"/>
      <c r="L25" s="665">
        <v>1</v>
      </c>
      <c r="M25" s="671" t="s">
        <v>1035</v>
      </c>
      <c r="N25" s="530">
        <f t="shared" si="4"/>
        <v>5.0863702487495006E-2</v>
      </c>
      <c r="O25" s="671">
        <f t="shared" si="5"/>
        <v>0</v>
      </c>
      <c r="P25" s="693" t="s">
        <v>1182</v>
      </c>
      <c r="Q25" s="530"/>
      <c r="R25" s="673">
        <v>0.99</v>
      </c>
      <c r="S25" s="674">
        <f t="shared" si="6"/>
        <v>5.0863702487495056E-4</v>
      </c>
      <c r="T25" s="142"/>
      <c r="U25" s="698" t="str">
        <f t="shared" si="7"/>
        <v>Y</v>
      </c>
      <c r="V25" s="670" t="str">
        <f t="shared" ref="V25:V69" si="8">P25</f>
        <v>SM05 SM06</v>
      </c>
      <c r="W25" s="530"/>
      <c r="X25" s="673">
        <v>0.8</v>
      </c>
      <c r="Y25" s="668">
        <f t="shared" si="2"/>
        <v>1.0071013092524009E-2</v>
      </c>
      <c r="Z25" s="141"/>
      <c r="AA25" s="517" t="s">
        <v>1191</v>
      </c>
      <c r="AB25" s="135"/>
    </row>
    <row r="26" spans="1:28">
      <c r="A26" s="136"/>
      <c r="B26" s="721" t="s">
        <v>337</v>
      </c>
      <c r="C26" s="131">
        <v>4</v>
      </c>
      <c r="D26" s="670" t="s">
        <v>893</v>
      </c>
      <c r="E26" s="131">
        <v>5</v>
      </c>
      <c r="F26" s="670" t="s">
        <v>894</v>
      </c>
      <c r="G26" s="712">
        <f t="shared" si="3"/>
        <v>5.0863702487495006E-2</v>
      </c>
      <c r="H26" s="663" t="s">
        <v>1172</v>
      </c>
      <c r="I26" s="663" t="s">
        <v>1172</v>
      </c>
      <c r="J26" s="714" t="s">
        <v>884</v>
      </c>
      <c r="K26" s="142"/>
      <c r="L26" s="665">
        <v>1</v>
      </c>
      <c r="M26" s="671" t="s">
        <v>1035</v>
      </c>
      <c r="N26" s="530">
        <f t="shared" si="4"/>
        <v>5.0863702487495006E-2</v>
      </c>
      <c r="O26" s="671">
        <f t="shared" si="5"/>
        <v>0</v>
      </c>
      <c r="P26" s="693" t="s">
        <v>1182</v>
      </c>
      <c r="Q26" s="530"/>
      <c r="R26" s="673">
        <v>0.99</v>
      </c>
      <c r="S26" s="674">
        <f t="shared" si="6"/>
        <v>5.0863702487495056E-4</v>
      </c>
      <c r="T26" s="142"/>
      <c r="U26" s="698" t="str">
        <f t="shared" si="7"/>
        <v>Y</v>
      </c>
      <c r="V26" s="670" t="str">
        <f t="shared" si="8"/>
        <v>SM05 SM06</v>
      </c>
      <c r="W26" s="530"/>
      <c r="X26" s="673">
        <v>0.8</v>
      </c>
      <c r="Y26" s="668">
        <f t="shared" si="2"/>
        <v>1.0071013092524009E-2</v>
      </c>
      <c r="Z26" s="141"/>
      <c r="AA26" s="517" t="s">
        <v>1191</v>
      </c>
      <c r="AB26" s="135"/>
    </row>
    <row r="27" spans="1:28">
      <c r="A27" s="136"/>
      <c r="B27" s="721" t="s">
        <v>338</v>
      </c>
      <c r="C27" s="131">
        <v>5</v>
      </c>
      <c r="D27" s="670" t="s">
        <v>894</v>
      </c>
      <c r="E27" s="131">
        <v>6</v>
      </c>
      <c r="F27" s="670" t="s">
        <v>895</v>
      </c>
      <c r="G27" s="712">
        <f t="shared" si="3"/>
        <v>5.0863702487495006E-2</v>
      </c>
      <c r="H27" s="670" t="s">
        <v>1171</v>
      </c>
      <c r="I27" s="712" t="s">
        <v>1242</v>
      </c>
      <c r="J27" s="714" t="s">
        <v>1037</v>
      </c>
      <c r="K27" s="142"/>
      <c r="L27" s="665">
        <v>1</v>
      </c>
      <c r="M27" s="671" t="s">
        <v>78</v>
      </c>
      <c r="N27" s="530">
        <f t="shared" si="4"/>
        <v>5.0863702487495006E-2</v>
      </c>
      <c r="O27" s="671">
        <f t="shared" si="5"/>
        <v>1</v>
      </c>
      <c r="P27" s="722"/>
      <c r="Q27" s="530"/>
      <c r="R27" s="673"/>
      <c r="S27" s="674"/>
      <c r="T27" s="142"/>
      <c r="U27" s="698" t="str">
        <f t="shared" si="7"/>
        <v>N</v>
      </c>
      <c r="V27" s="670"/>
      <c r="W27" s="530"/>
      <c r="X27" s="673"/>
      <c r="Y27" s="668"/>
      <c r="Z27" s="141"/>
      <c r="AA27" s="517"/>
      <c r="AB27" s="135"/>
    </row>
    <row r="28" spans="1:28">
      <c r="A28" s="136"/>
      <c r="B28" s="721" t="s">
        <v>339</v>
      </c>
      <c r="C28" s="131">
        <v>6</v>
      </c>
      <c r="D28" s="670" t="s">
        <v>895</v>
      </c>
      <c r="E28" s="131">
        <v>7</v>
      </c>
      <c r="F28" s="670" t="s">
        <v>896</v>
      </c>
      <c r="G28" s="712">
        <f t="shared" si="3"/>
        <v>5.0863702487495006E-2</v>
      </c>
      <c r="H28" s="670" t="s">
        <v>1171</v>
      </c>
      <c r="I28" s="712" t="s">
        <v>1242</v>
      </c>
      <c r="J28" s="723" t="s">
        <v>1037</v>
      </c>
      <c r="K28" s="142"/>
      <c r="L28" s="665">
        <v>1</v>
      </c>
      <c r="M28" s="671" t="s">
        <v>78</v>
      </c>
      <c r="N28" s="530">
        <f t="shared" si="0"/>
        <v>5.0863702487495006E-2</v>
      </c>
      <c r="O28" s="671">
        <f t="shared" ref="O28:O53" si="9">IF(M28="N",100%,0%)</f>
        <v>1</v>
      </c>
      <c r="P28" s="722" t="s">
        <v>857</v>
      </c>
      <c r="Q28" s="530"/>
      <c r="R28" s="673"/>
      <c r="S28" s="674"/>
      <c r="T28" s="142"/>
      <c r="U28" s="698" t="str">
        <f t="shared" si="7"/>
        <v>N</v>
      </c>
      <c r="V28" s="670" t="str">
        <f t="shared" si="8"/>
        <v/>
      </c>
      <c r="W28" s="530"/>
      <c r="X28" s="673"/>
      <c r="Y28" s="668"/>
      <c r="Z28" s="141"/>
      <c r="AA28" s="517"/>
      <c r="AB28" s="135"/>
    </row>
    <row r="29" spans="1:28">
      <c r="A29" s="136"/>
      <c r="B29" s="721" t="s">
        <v>340</v>
      </c>
      <c r="C29" s="131">
        <v>7</v>
      </c>
      <c r="D29" s="670" t="s">
        <v>896</v>
      </c>
      <c r="E29" s="131">
        <v>8</v>
      </c>
      <c r="F29" s="670" t="s">
        <v>897</v>
      </c>
      <c r="G29" s="712">
        <f t="shared" si="3"/>
        <v>5.0863702487495006E-2</v>
      </c>
      <c r="H29" s="670" t="s">
        <v>1177</v>
      </c>
      <c r="I29" s="712" t="s">
        <v>1400</v>
      </c>
      <c r="J29" s="723" t="s">
        <v>1037</v>
      </c>
      <c r="K29" s="142"/>
      <c r="L29" s="665">
        <v>1</v>
      </c>
      <c r="M29" s="671" t="s">
        <v>78</v>
      </c>
      <c r="N29" s="530">
        <f t="shared" si="0"/>
        <v>5.0863702487495006E-2</v>
      </c>
      <c r="O29" s="671">
        <f t="shared" si="9"/>
        <v>1</v>
      </c>
      <c r="P29" s="722" t="s">
        <v>857</v>
      </c>
      <c r="Q29" s="530"/>
      <c r="R29" s="673"/>
      <c r="S29" s="674"/>
      <c r="T29" s="142"/>
      <c r="U29" s="698" t="str">
        <f t="shared" si="7"/>
        <v>N</v>
      </c>
      <c r="V29" s="670" t="str">
        <f t="shared" si="8"/>
        <v/>
      </c>
      <c r="W29" s="530"/>
      <c r="X29" s="673"/>
      <c r="Y29" s="668"/>
      <c r="Z29" s="141"/>
      <c r="AA29" s="517"/>
      <c r="AB29" s="135"/>
    </row>
    <row r="30" spans="1:28" collapsed="1">
      <c r="A30" s="136"/>
      <c r="B30" s="721" t="s">
        <v>341</v>
      </c>
      <c r="C30" s="131">
        <v>8</v>
      </c>
      <c r="D30" s="670" t="s">
        <v>897</v>
      </c>
      <c r="E30" s="131">
        <v>9</v>
      </c>
      <c r="F30" s="670" t="s">
        <v>898</v>
      </c>
      <c r="G30" s="712">
        <f t="shared" si="3"/>
        <v>5.0863702487495006E-2</v>
      </c>
      <c r="H30" s="663" t="s">
        <v>1178</v>
      </c>
      <c r="I30" s="712" t="s">
        <v>1400</v>
      </c>
      <c r="J30" s="723" t="s">
        <v>1037</v>
      </c>
      <c r="K30" s="142"/>
      <c r="L30" s="665">
        <v>1</v>
      </c>
      <c r="M30" s="671" t="s">
        <v>78</v>
      </c>
      <c r="N30" s="530">
        <f t="shared" ref="N30" si="10">G30*L30</f>
        <v>5.0863702487495006E-2</v>
      </c>
      <c r="O30" s="671">
        <f t="shared" ref="O30" si="11">IF(M30="N",100%,0%)</f>
        <v>1</v>
      </c>
      <c r="P30" s="722" t="s">
        <v>857</v>
      </c>
      <c r="Q30" s="530"/>
      <c r="R30" s="673"/>
      <c r="S30" s="674"/>
      <c r="T30" s="142"/>
      <c r="U30" s="698" t="str">
        <f t="shared" ref="U30" si="12">M30</f>
        <v>N</v>
      </c>
      <c r="V30" s="670" t="str">
        <f t="shared" si="8"/>
        <v/>
      </c>
      <c r="W30" s="530"/>
      <c r="X30" s="673"/>
      <c r="Y30" s="668"/>
      <c r="Z30" s="141"/>
      <c r="AA30" s="517"/>
      <c r="AB30" s="135"/>
    </row>
    <row r="31" spans="1:28">
      <c r="A31" s="136"/>
      <c r="B31" s="721" t="s">
        <v>342</v>
      </c>
      <c r="C31" s="131">
        <v>9</v>
      </c>
      <c r="D31" s="670" t="s">
        <v>898</v>
      </c>
      <c r="E31" s="131">
        <v>10</v>
      </c>
      <c r="F31" s="670" t="s">
        <v>899</v>
      </c>
      <c r="G31" s="712">
        <f t="shared" si="3"/>
        <v>5.0863702487495006E-2</v>
      </c>
      <c r="H31" s="670" t="s">
        <v>1185</v>
      </c>
      <c r="I31" s="712" t="s">
        <v>1242</v>
      </c>
      <c r="J31" s="714" t="s">
        <v>1037</v>
      </c>
      <c r="K31" s="142"/>
      <c r="L31" s="665">
        <v>1</v>
      </c>
      <c r="M31" s="671" t="s">
        <v>78</v>
      </c>
      <c r="N31" s="530">
        <f t="shared" si="0"/>
        <v>5.0863702487495006E-2</v>
      </c>
      <c r="O31" s="671">
        <f t="shared" si="9"/>
        <v>1</v>
      </c>
      <c r="P31" s="722" t="s">
        <v>857</v>
      </c>
      <c r="Q31" s="530"/>
      <c r="R31" s="673"/>
      <c r="S31" s="674"/>
      <c r="T31" s="142"/>
      <c r="U31" s="698" t="str">
        <f t="shared" si="7"/>
        <v>N</v>
      </c>
      <c r="V31" s="670" t="str">
        <f t="shared" si="8"/>
        <v/>
      </c>
      <c r="W31" s="530"/>
      <c r="X31" s="673"/>
      <c r="Y31" s="668"/>
      <c r="Z31" s="141"/>
      <c r="AA31" s="517"/>
      <c r="AB31" s="135"/>
    </row>
    <row r="32" spans="1:28">
      <c r="A32" s="136"/>
      <c r="B32" s="721" t="s">
        <v>343</v>
      </c>
      <c r="C32" s="131">
        <v>10</v>
      </c>
      <c r="D32" s="670" t="s">
        <v>899</v>
      </c>
      <c r="E32" s="131">
        <v>11</v>
      </c>
      <c r="F32" s="670" t="s">
        <v>900</v>
      </c>
      <c r="G32" s="712">
        <f t="shared" si="3"/>
        <v>5.0863702487495006E-2</v>
      </c>
      <c r="H32" s="670" t="s">
        <v>1186</v>
      </c>
      <c r="I32" s="712" t="s">
        <v>1242</v>
      </c>
      <c r="J32" s="714" t="s">
        <v>1037</v>
      </c>
      <c r="K32" s="142"/>
      <c r="L32" s="665">
        <v>1</v>
      </c>
      <c r="M32" s="671" t="s">
        <v>78</v>
      </c>
      <c r="N32" s="530">
        <f t="shared" si="0"/>
        <v>5.0863702487495006E-2</v>
      </c>
      <c r="O32" s="671">
        <f t="shared" si="9"/>
        <v>1</v>
      </c>
      <c r="P32" s="722" t="s">
        <v>857</v>
      </c>
      <c r="Q32" s="530"/>
      <c r="R32" s="673"/>
      <c r="S32" s="674"/>
      <c r="T32" s="142"/>
      <c r="U32" s="698" t="str">
        <f t="shared" si="7"/>
        <v>N</v>
      </c>
      <c r="V32" s="670" t="str">
        <f t="shared" si="8"/>
        <v/>
      </c>
      <c r="W32" s="530"/>
      <c r="X32" s="673"/>
      <c r="Y32" s="668"/>
      <c r="Z32" s="141"/>
      <c r="AA32" s="517"/>
      <c r="AB32" s="135"/>
    </row>
    <row r="33" spans="1:28" ht="15.75">
      <c r="A33" s="136"/>
      <c r="B33" s="721" t="s">
        <v>344</v>
      </c>
      <c r="C33" s="131">
        <v>11</v>
      </c>
      <c r="D33" s="670" t="s">
        <v>900</v>
      </c>
      <c r="E33" s="131">
        <v>12</v>
      </c>
      <c r="F33" s="670" t="s">
        <v>901</v>
      </c>
      <c r="G33" s="712">
        <f t="shared" si="3"/>
        <v>5.0863702487495006E-2</v>
      </c>
      <c r="H33" s="670" t="s">
        <v>1180</v>
      </c>
      <c r="I33" s="712" t="s">
        <v>1242</v>
      </c>
      <c r="J33" s="714" t="s">
        <v>1037</v>
      </c>
      <c r="K33" s="142"/>
      <c r="L33" s="665">
        <v>1</v>
      </c>
      <c r="M33" s="671" t="s">
        <v>78</v>
      </c>
      <c r="N33" s="530">
        <f t="shared" ref="N33" si="13">G33*L33</f>
        <v>5.0863702487495006E-2</v>
      </c>
      <c r="O33" s="671">
        <f t="shared" ref="O33" si="14">IF(M33="N",100%,0%)</f>
        <v>1</v>
      </c>
      <c r="P33" s="722" t="s">
        <v>857</v>
      </c>
      <c r="Q33" s="530"/>
      <c r="R33" s="673"/>
      <c r="S33" s="674"/>
      <c r="T33" s="142"/>
      <c r="U33" s="698" t="str">
        <f t="shared" ref="U33" si="15">M33</f>
        <v>N</v>
      </c>
      <c r="V33" s="670" t="str">
        <f t="shared" si="8"/>
        <v/>
      </c>
      <c r="W33" s="530"/>
      <c r="X33" s="673"/>
      <c r="Y33" s="668"/>
      <c r="Z33" s="141"/>
      <c r="AA33" s="507"/>
      <c r="AB33" s="135"/>
    </row>
    <row r="34" spans="1:28" ht="15.75">
      <c r="A34" s="136"/>
      <c r="B34" s="721" t="s">
        <v>345</v>
      </c>
      <c r="C34" s="131">
        <v>12</v>
      </c>
      <c r="D34" s="670" t="s">
        <v>901</v>
      </c>
      <c r="E34" s="131">
        <v>13</v>
      </c>
      <c r="F34" s="670" t="s">
        <v>906</v>
      </c>
      <c r="G34" s="712">
        <f t="shared" si="3"/>
        <v>5.0863702487495006E-2</v>
      </c>
      <c r="H34" s="663" t="s">
        <v>1192</v>
      </c>
      <c r="I34" s="676" t="s">
        <v>1401</v>
      </c>
      <c r="J34" s="714" t="s">
        <v>884</v>
      </c>
      <c r="K34" s="142"/>
      <c r="L34" s="665">
        <v>1</v>
      </c>
      <c r="M34" s="671" t="s">
        <v>1035</v>
      </c>
      <c r="N34" s="530">
        <f t="shared" si="0"/>
        <v>5.0863702487495006E-2</v>
      </c>
      <c r="O34" s="671">
        <f t="shared" si="9"/>
        <v>0</v>
      </c>
      <c r="P34" s="670" t="s">
        <v>1187</v>
      </c>
      <c r="Q34" s="530"/>
      <c r="R34" s="673">
        <v>0.99</v>
      </c>
      <c r="S34" s="674">
        <f t="shared" ref="S34:S51" si="16">IF(M34="N",0,N34*(1-O34)*(1-R34))</f>
        <v>5.0863702487495056E-4</v>
      </c>
      <c r="T34" s="142"/>
      <c r="U34" s="698" t="str">
        <f t="shared" si="7"/>
        <v>Y</v>
      </c>
      <c r="V34" s="670" t="str">
        <f t="shared" si="8"/>
        <v>SM09 SM10 SM13</v>
      </c>
      <c r="W34" s="530"/>
      <c r="X34" s="673">
        <v>1</v>
      </c>
      <c r="Y34" s="668">
        <f t="shared" si="2"/>
        <v>0</v>
      </c>
      <c r="Z34" s="141"/>
      <c r="AA34" s="507" t="s">
        <v>1189</v>
      </c>
      <c r="AB34" s="135"/>
    </row>
    <row r="35" spans="1:28">
      <c r="A35" s="136"/>
      <c r="B35" s="721" t="s">
        <v>346</v>
      </c>
      <c r="C35" s="131">
        <v>13</v>
      </c>
      <c r="D35" s="670" t="s">
        <v>906</v>
      </c>
      <c r="E35" s="131">
        <v>14</v>
      </c>
      <c r="F35" s="670" t="s">
        <v>909</v>
      </c>
      <c r="G35" s="712">
        <f t="shared" si="3"/>
        <v>5.0863702487495006E-2</v>
      </c>
      <c r="H35" s="670" t="s">
        <v>1179</v>
      </c>
      <c r="I35" s="712" t="s">
        <v>1242</v>
      </c>
      <c r="J35" s="714" t="s">
        <v>1037</v>
      </c>
      <c r="K35" s="142"/>
      <c r="L35" s="665">
        <v>1</v>
      </c>
      <c r="M35" s="671" t="s">
        <v>78</v>
      </c>
      <c r="N35" s="530">
        <f t="shared" ref="N35" si="17">G35*L35</f>
        <v>5.0863702487495006E-2</v>
      </c>
      <c r="O35" s="671">
        <f t="shared" ref="O35" si="18">IF(M35="N",100%,0%)</f>
        <v>1</v>
      </c>
      <c r="P35" s="722" t="s">
        <v>857</v>
      </c>
      <c r="Q35" s="530"/>
      <c r="R35" s="673"/>
      <c r="S35" s="674"/>
      <c r="T35" s="142"/>
      <c r="U35" s="698" t="str">
        <f t="shared" si="7"/>
        <v>N</v>
      </c>
      <c r="V35" s="670" t="str">
        <f t="shared" si="8"/>
        <v/>
      </c>
      <c r="W35" s="530"/>
      <c r="X35" s="673"/>
      <c r="Y35" s="668"/>
      <c r="Z35" s="141"/>
      <c r="AA35" s="517"/>
      <c r="AB35" s="135"/>
    </row>
    <row r="36" spans="1:28">
      <c r="A36" s="136"/>
      <c r="B36" s="721" t="s">
        <v>347</v>
      </c>
      <c r="C36" s="131">
        <v>14</v>
      </c>
      <c r="D36" s="670" t="s">
        <v>909</v>
      </c>
      <c r="E36" s="131">
        <v>15</v>
      </c>
      <c r="F36" s="670" t="s">
        <v>903</v>
      </c>
      <c r="G36" s="712">
        <f t="shared" si="3"/>
        <v>5.0863702487495006E-2</v>
      </c>
      <c r="H36" s="670" t="s">
        <v>1179</v>
      </c>
      <c r="I36" s="712" t="s">
        <v>1242</v>
      </c>
      <c r="J36" s="714" t="s">
        <v>1037</v>
      </c>
      <c r="K36" s="142"/>
      <c r="L36" s="665">
        <v>1</v>
      </c>
      <c r="M36" s="671" t="s">
        <v>78</v>
      </c>
      <c r="N36" s="530">
        <f t="shared" ref="N36" si="19">G36*L36</f>
        <v>5.0863702487495006E-2</v>
      </c>
      <c r="O36" s="671">
        <f t="shared" ref="O36" si="20">IF(M36="N",100%,0%)</f>
        <v>1</v>
      </c>
      <c r="P36" s="722" t="s">
        <v>857</v>
      </c>
      <c r="Q36" s="530"/>
      <c r="R36" s="673"/>
      <c r="S36" s="674"/>
      <c r="T36" s="142"/>
      <c r="U36" s="698" t="str">
        <f t="shared" si="7"/>
        <v>N</v>
      </c>
      <c r="V36" s="670" t="str">
        <f t="shared" si="8"/>
        <v/>
      </c>
      <c r="W36" s="530"/>
      <c r="X36" s="673"/>
      <c r="Y36" s="668"/>
      <c r="Z36" s="141"/>
      <c r="AA36" s="517"/>
      <c r="AB36" s="135"/>
    </row>
    <row r="37" spans="1:28">
      <c r="A37" s="136"/>
      <c r="B37" s="721" t="s">
        <v>348</v>
      </c>
      <c r="C37" s="131">
        <v>15</v>
      </c>
      <c r="D37" s="670" t="s">
        <v>903</v>
      </c>
      <c r="E37" s="131">
        <v>16</v>
      </c>
      <c r="F37" s="670" t="s">
        <v>904</v>
      </c>
      <c r="G37" s="712">
        <f t="shared" si="3"/>
        <v>5.0863702487495006E-2</v>
      </c>
      <c r="H37" s="663" t="s">
        <v>1181</v>
      </c>
      <c r="I37" s="676" t="s">
        <v>1401</v>
      </c>
      <c r="J37" s="714" t="s">
        <v>884</v>
      </c>
      <c r="K37" s="142"/>
      <c r="L37" s="665">
        <v>1</v>
      </c>
      <c r="M37" s="671" t="s">
        <v>1035</v>
      </c>
      <c r="N37" s="530">
        <f t="shared" ref="N37" si="21">G37*L37</f>
        <v>5.0863702487495006E-2</v>
      </c>
      <c r="O37" s="671">
        <f t="shared" si="9"/>
        <v>0</v>
      </c>
      <c r="P37" s="670" t="s">
        <v>1187</v>
      </c>
      <c r="Q37" s="530"/>
      <c r="R37" s="673">
        <v>0.99</v>
      </c>
      <c r="S37" s="674">
        <f t="shared" si="16"/>
        <v>5.0863702487495056E-4</v>
      </c>
      <c r="T37" s="142"/>
      <c r="U37" s="698" t="str">
        <f t="shared" si="7"/>
        <v>Y</v>
      </c>
      <c r="V37" s="670" t="str">
        <f t="shared" si="8"/>
        <v>SM09 SM10 SM13</v>
      </c>
      <c r="W37" s="530"/>
      <c r="X37" s="673">
        <v>1</v>
      </c>
      <c r="Y37" s="668">
        <f t="shared" si="2"/>
        <v>0</v>
      </c>
      <c r="Z37" s="141"/>
      <c r="AA37" s="945" t="s">
        <v>1188</v>
      </c>
      <c r="AB37" s="135"/>
    </row>
    <row r="38" spans="1:28">
      <c r="A38" s="136"/>
      <c r="B38" s="721" t="s">
        <v>349</v>
      </c>
      <c r="C38" s="131">
        <v>16</v>
      </c>
      <c r="D38" s="670" t="s">
        <v>904</v>
      </c>
      <c r="E38" s="131">
        <v>17</v>
      </c>
      <c r="F38" s="670" t="s">
        <v>908</v>
      </c>
      <c r="G38" s="712">
        <f t="shared" si="3"/>
        <v>5.0863702487495006E-2</v>
      </c>
      <c r="H38" s="663" t="s">
        <v>1192</v>
      </c>
      <c r="I38" s="676" t="s">
        <v>1401</v>
      </c>
      <c r="J38" s="714" t="s">
        <v>884</v>
      </c>
      <c r="K38" s="142"/>
      <c r="L38" s="665">
        <v>1</v>
      </c>
      <c r="M38" s="671" t="s">
        <v>1035</v>
      </c>
      <c r="N38" s="530">
        <f t="shared" si="0"/>
        <v>5.0863702487495006E-2</v>
      </c>
      <c r="O38" s="671">
        <f t="shared" si="9"/>
        <v>0</v>
      </c>
      <c r="P38" s="670" t="s">
        <v>1187</v>
      </c>
      <c r="Q38" s="530"/>
      <c r="R38" s="673">
        <v>0.99</v>
      </c>
      <c r="S38" s="674">
        <f t="shared" si="16"/>
        <v>5.0863702487495056E-4</v>
      </c>
      <c r="T38" s="142"/>
      <c r="U38" s="698" t="str">
        <f t="shared" si="7"/>
        <v>Y</v>
      </c>
      <c r="V38" s="670" t="str">
        <f t="shared" si="8"/>
        <v>SM09 SM10 SM13</v>
      </c>
      <c r="W38" s="530"/>
      <c r="X38" s="673">
        <v>1</v>
      </c>
      <c r="Y38" s="668">
        <f t="shared" si="2"/>
        <v>0</v>
      </c>
      <c r="Z38" s="141"/>
      <c r="AA38" s="946"/>
      <c r="AB38" s="135"/>
    </row>
    <row r="39" spans="1:28">
      <c r="A39" s="136"/>
      <c r="B39" s="721" t="s">
        <v>350</v>
      </c>
      <c r="C39" s="131">
        <v>17</v>
      </c>
      <c r="D39" s="670" t="s">
        <v>908</v>
      </c>
      <c r="E39" s="131">
        <v>18</v>
      </c>
      <c r="F39" s="670" t="s">
        <v>910</v>
      </c>
      <c r="G39" s="712">
        <f t="shared" si="3"/>
        <v>5.0863702487495006E-2</v>
      </c>
      <c r="H39" s="663" t="s">
        <v>1192</v>
      </c>
      <c r="I39" s="676" t="s">
        <v>1401</v>
      </c>
      <c r="J39" s="714" t="s">
        <v>884</v>
      </c>
      <c r="K39" s="142"/>
      <c r="L39" s="665">
        <v>1</v>
      </c>
      <c r="M39" s="671" t="s">
        <v>1035</v>
      </c>
      <c r="N39" s="530">
        <f t="shared" si="0"/>
        <v>5.0863702487495006E-2</v>
      </c>
      <c r="O39" s="671">
        <f t="shared" si="9"/>
        <v>0</v>
      </c>
      <c r="P39" s="670" t="s">
        <v>1187</v>
      </c>
      <c r="Q39" s="530"/>
      <c r="R39" s="673">
        <v>0.99</v>
      </c>
      <c r="S39" s="674">
        <f t="shared" ref="S39:S48" si="22">IF(M39="N",0,N39*(1-O39)*(1-R39))</f>
        <v>5.0863702487495056E-4</v>
      </c>
      <c r="T39" s="142"/>
      <c r="U39" s="698" t="str">
        <f t="shared" si="7"/>
        <v>Y</v>
      </c>
      <c r="V39" s="670" t="str">
        <f t="shared" si="8"/>
        <v>SM09 SM10 SM13</v>
      </c>
      <c r="W39" s="530"/>
      <c r="X39" s="673">
        <v>1</v>
      </c>
      <c r="Y39" s="668">
        <f t="shared" si="2"/>
        <v>0</v>
      </c>
      <c r="Z39" s="141"/>
      <c r="AA39" s="947"/>
      <c r="AB39" s="135"/>
    </row>
    <row r="40" spans="1:28" ht="30">
      <c r="A40" s="136"/>
      <c r="B40" s="721" t="s">
        <v>351</v>
      </c>
      <c r="C40" s="131">
        <v>18</v>
      </c>
      <c r="D40" s="670" t="s">
        <v>910</v>
      </c>
      <c r="E40" s="131">
        <v>19</v>
      </c>
      <c r="F40" s="670" t="s">
        <v>902</v>
      </c>
      <c r="G40" s="712">
        <f t="shared" si="3"/>
        <v>5.0863702487495006E-2</v>
      </c>
      <c r="H40" s="670" t="s">
        <v>1173</v>
      </c>
      <c r="I40" s="712" t="s">
        <v>1174</v>
      </c>
      <c r="J40" s="714" t="s">
        <v>884</v>
      </c>
      <c r="K40" s="142"/>
      <c r="L40" s="665">
        <v>1</v>
      </c>
      <c r="M40" s="671" t="s">
        <v>1035</v>
      </c>
      <c r="N40" s="530">
        <f t="shared" si="0"/>
        <v>5.0863702487495006E-2</v>
      </c>
      <c r="O40" s="671">
        <f t="shared" si="9"/>
        <v>0</v>
      </c>
      <c r="P40" s="670" t="s">
        <v>1200</v>
      </c>
      <c r="Q40" s="530"/>
      <c r="R40" s="673">
        <v>0.99</v>
      </c>
      <c r="S40" s="674">
        <f t="shared" si="22"/>
        <v>5.0863702487495056E-4</v>
      </c>
      <c r="T40" s="142"/>
      <c r="U40" s="698" t="str">
        <f t="shared" si="7"/>
        <v>Y</v>
      </c>
      <c r="V40" s="670" t="str">
        <f t="shared" si="8"/>
        <v>SM01 SM15 SM16 SM22</v>
      </c>
      <c r="W40" s="530"/>
      <c r="X40" s="673">
        <v>1</v>
      </c>
      <c r="Y40" s="668">
        <f t="shared" si="2"/>
        <v>0</v>
      </c>
      <c r="Z40" s="141"/>
      <c r="AA40" s="517" t="s">
        <v>1201</v>
      </c>
      <c r="AB40" s="135"/>
    </row>
    <row r="41" spans="1:28" ht="15.75">
      <c r="A41" s="136"/>
      <c r="B41" s="721" t="s">
        <v>352</v>
      </c>
      <c r="C41" s="131">
        <v>19</v>
      </c>
      <c r="D41" s="670" t="s">
        <v>902</v>
      </c>
      <c r="E41" s="131">
        <v>20</v>
      </c>
      <c r="F41" s="670" t="s">
        <v>908</v>
      </c>
      <c r="G41" s="712">
        <f t="shared" si="3"/>
        <v>5.0863702487495006E-2</v>
      </c>
      <c r="H41" s="663" t="s">
        <v>1192</v>
      </c>
      <c r="I41" s="676" t="s">
        <v>1401</v>
      </c>
      <c r="J41" s="714" t="s">
        <v>884</v>
      </c>
      <c r="K41" s="142"/>
      <c r="L41" s="665">
        <v>1</v>
      </c>
      <c r="M41" s="671" t="s">
        <v>1035</v>
      </c>
      <c r="N41" s="530">
        <f t="shared" si="0"/>
        <v>5.0863702487495006E-2</v>
      </c>
      <c r="O41" s="671">
        <f t="shared" si="9"/>
        <v>0</v>
      </c>
      <c r="P41" s="670" t="s">
        <v>1187</v>
      </c>
      <c r="Q41" s="530"/>
      <c r="R41" s="673">
        <v>0.99</v>
      </c>
      <c r="S41" s="674">
        <f t="shared" si="22"/>
        <v>5.0863702487495056E-4</v>
      </c>
      <c r="T41" s="142"/>
      <c r="U41" s="698" t="str">
        <f t="shared" si="7"/>
        <v>Y</v>
      </c>
      <c r="V41" s="670" t="str">
        <f t="shared" si="8"/>
        <v>SM09 SM10 SM13</v>
      </c>
      <c r="W41" s="530"/>
      <c r="X41" s="673">
        <v>1</v>
      </c>
      <c r="Y41" s="668">
        <f t="shared" si="2"/>
        <v>0</v>
      </c>
      <c r="Z41" s="141"/>
      <c r="AA41" s="507" t="s">
        <v>1189</v>
      </c>
      <c r="AB41" s="135"/>
    </row>
    <row r="42" spans="1:28" ht="15.75">
      <c r="A42" s="136"/>
      <c r="B42" s="721" t="s">
        <v>353</v>
      </c>
      <c r="C42" s="131">
        <v>20</v>
      </c>
      <c r="D42" s="670" t="s">
        <v>908</v>
      </c>
      <c r="E42" s="131">
        <v>21</v>
      </c>
      <c r="F42" s="670" t="s">
        <v>904</v>
      </c>
      <c r="G42" s="712">
        <f t="shared" si="3"/>
        <v>5.0863702487495006E-2</v>
      </c>
      <c r="H42" s="663" t="s">
        <v>1192</v>
      </c>
      <c r="I42" s="676" t="s">
        <v>1401</v>
      </c>
      <c r="J42" s="714" t="s">
        <v>884</v>
      </c>
      <c r="K42" s="142"/>
      <c r="L42" s="665">
        <v>1</v>
      </c>
      <c r="M42" s="671" t="s">
        <v>1035</v>
      </c>
      <c r="N42" s="530">
        <f t="shared" si="0"/>
        <v>5.0863702487495006E-2</v>
      </c>
      <c r="O42" s="671">
        <f t="shared" si="9"/>
        <v>0</v>
      </c>
      <c r="P42" s="670" t="s">
        <v>1187</v>
      </c>
      <c r="Q42" s="530"/>
      <c r="R42" s="673">
        <v>0.99</v>
      </c>
      <c r="S42" s="674">
        <f t="shared" si="22"/>
        <v>5.0863702487495056E-4</v>
      </c>
      <c r="T42" s="142"/>
      <c r="U42" s="698" t="str">
        <f t="shared" si="7"/>
        <v>Y</v>
      </c>
      <c r="V42" s="670" t="str">
        <f t="shared" si="8"/>
        <v>SM09 SM10 SM13</v>
      </c>
      <c r="W42" s="530"/>
      <c r="X42" s="673">
        <v>1</v>
      </c>
      <c r="Y42" s="668">
        <f t="shared" si="2"/>
        <v>0</v>
      </c>
      <c r="Z42" s="141"/>
      <c r="AA42" s="507" t="s">
        <v>1189</v>
      </c>
      <c r="AB42" s="135"/>
    </row>
    <row r="43" spans="1:28" ht="15.75">
      <c r="A43" s="136"/>
      <c r="B43" s="721" t="s">
        <v>354</v>
      </c>
      <c r="C43" s="131">
        <v>21</v>
      </c>
      <c r="D43" s="670" t="s">
        <v>904</v>
      </c>
      <c r="E43" s="131">
        <v>22</v>
      </c>
      <c r="F43" s="670" t="s">
        <v>903</v>
      </c>
      <c r="G43" s="712">
        <f t="shared" si="3"/>
        <v>5.0863702487495006E-2</v>
      </c>
      <c r="H43" s="663" t="s">
        <v>1181</v>
      </c>
      <c r="I43" s="676" t="s">
        <v>1401</v>
      </c>
      <c r="J43" s="714" t="s">
        <v>884</v>
      </c>
      <c r="K43" s="142"/>
      <c r="L43" s="665">
        <v>1</v>
      </c>
      <c r="M43" s="671" t="s">
        <v>1035</v>
      </c>
      <c r="N43" s="530">
        <f t="shared" si="0"/>
        <v>5.0863702487495006E-2</v>
      </c>
      <c r="O43" s="671">
        <f t="shared" si="9"/>
        <v>0</v>
      </c>
      <c r="P43" s="670" t="s">
        <v>1187</v>
      </c>
      <c r="Q43" s="530"/>
      <c r="R43" s="673">
        <v>0.99</v>
      </c>
      <c r="S43" s="674">
        <f t="shared" si="22"/>
        <v>5.0863702487495056E-4</v>
      </c>
      <c r="T43" s="142"/>
      <c r="U43" s="698" t="str">
        <f t="shared" si="7"/>
        <v>Y</v>
      </c>
      <c r="V43" s="670" t="str">
        <f t="shared" si="8"/>
        <v>SM09 SM10 SM13</v>
      </c>
      <c r="W43" s="530"/>
      <c r="X43" s="673">
        <v>1</v>
      </c>
      <c r="Y43" s="668">
        <f t="shared" si="2"/>
        <v>0</v>
      </c>
      <c r="Z43" s="141"/>
      <c r="AA43" s="507" t="s">
        <v>1189</v>
      </c>
      <c r="AB43" s="135"/>
    </row>
    <row r="44" spans="1:28">
      <c r="A44" s="136"/>
      <c r="B44" s="721" t="s">
        <v>355</v>
      </c>
      <c r="C44" s="131">
        <v>22</v>
      </c>
      <c r="D44" s="670" t="s">
        <v>903</v>
      </c>
      <c r="E44" s="131">
        <v>23</v>
      </c>
      <c r="F44" s="670" t="s">
        <v>905</v>
      </c>
      <c r="G44" s="712">
        <f t="shared" si="3"/>
        <v>5.0863702487495006E-2</v>
      </c>
      <c r="H44" s="670" t="s">
        <v>1179</v>
      </c>
      <c r="I44" s="712" t="s">
        <v>1242</v>
      </c>
      <c r="J44" s="714" t="s">
        <v>1037</v>
      </c>
      <c r="K44" s="142"/>
      <c r="L44" s="665">
        <v>1</v>
      </c>
      <c r="M44" s="671" t="s">
        <v>78</v>
      </c>
      <c r="N44" s="530">
        <f t="shared" si="0"/>
        <v>5.0863702487495006E-2</v>
      </c>
      <c r="O44" s="671">
        <f t="shared" si="9"/>
        <v>1</v>
      </c>
      <c r="P44" s="670" t="s">
        <v>857</v>
      </c>
      <c r="Q44" s="530"/>
      <c r="R44" s="673"/>
      <c r="S44" s="674"/>
      <c r="T44" s="142"/>
      <c r="U44" s="698" t="str">
        <f t="shared" si="7"/>
        <v>N</v>
      </c>
      <c r="V44" s="670" t="str">
        <f t="shared" si="8"/>
        <v/>
      </c>
      <c r="W44" s="530"/>
      <c r="X44" s="673"/>
      <c r="Y44" s="668"/>
      <c r="Z44" s="141"/>
      <c r="AA44" s="517"/>
      <c r="AB44" s="135"/>
    </row>
    <row r="45" spans="1:28">
      <c r="A45" s="136"/>
      <c r="B45" s="721" t="s">
        <v>356</v>
      </c>
      <c r="C45" s="131">
        <v>23</v>
      </c>
      <c r="D45" s="670" t="s">
        <v>905</v>
      </c>
      <c r="E45" s="131">
        <v>24</v>
      </c>
      <c r="F45" s="670" t="s">
        <v>907</v>
      </c>
      <c r="G45" s="712">
        <f t="shared" si="3"/>
        <v>5.0863702487495006E-2</v>
      </c>
      <c r="H45" s="670" t="s">
        <v>1179</v>
      </c>
      <c r="I45" s="712" t="s">
        <v>1242</v>
      </c>
      <c r="J45" s="714" t="s">
        <v>1037</v>
      </c>
      <c r="K45" s="142"/>
      <c r="L45" s="665">
        <v>1</v>
      </c>
      <c r="M45" s="671" t="s">
        <v>78</v>
      </c>
      <c r="N45" s="530">
        <f t="shared" si="0"/>
        <v>5.0863702487495006E-2</v>
      </c>
      <c r="O45" s="671">
        <f t="shared" si="9"/>
        <v>1</v>
      </c>
      <c r="P45" s="670" t="s">
        <v>857</v>
      </c>
      <c r="Q45" s="530"/>
      <c r="R45" s="673"/>
      <c r="S45" s="674"/>
      <c r="T45" s="142"/>
      <c r="U45" s="698" t="str">
        <f t="shared" si="7"/>
        <v>N</v>
      </c>
      <c r="V45" s="670" t="str">
        <f t="shared" si="8"/>
        <v/>
      </c>
      <c r="W45" s="530"/>
      <c r="X45" s="673"/>
      <c r="Y45" s="668"/>
      <c r="Z45" s="141"/>
      <c r="AA45" s="517"/>
      <c r="AB45" s="135"/>
    </row>
    <row r="46" spans="1:28" ht="15.75">
      <c r="A46" s="136"/>
      <c r="B46" s="721" t="s">
        <v>357</v>
      </c>
      <c r="C46" s="131">
        <v>24</v>
      </c>
      <c r="D46" s="670" t="s">
        <v>907</v>
      </c>
      <c r="E46" s="131">
        <v>25</v>
      </c>
      <c r="F46" s="670" t="s">
        <v>929</v>
      </c>
      <c r="G46" s="712">
        <f t="shared" si="3"/>
        <v>5.0863702487495006E-2</v>
      </c>
      <c r="H46" s="663" t="s">
        <v>1192</v>
      </c>
      <c r="I46" s="676" t="s">
        <v>1401</v>
      </c>
      <c r="J46" s="714" t="s">
        <v>884</v>
      </c>
      <c r="K46" s="142"/>
      <c r="L46" s="665">
        <v>1</v>
      </c>
      <c r="M46" s="671" t="s">
        <v>1035</v>
      </c>
      <c r="N46" s="530">
        <f t="shared" si="0"/>
        <v>5.0863702487495006E-2</v>
      </c>
      <c r="O46" s="671">
        <f t="shared" si="9"/>
        <v>0</v>
      </c>
      <c r="P46" s="670" t="s">
        <v>1187</v>
      </c>
      <c r="Q46" s="530"/>
      <c r="R46" s="673">
        <v>0.99</v>
      </c>
      <c r="S46" s="674">
        <f t="shared" si="22"/>
        <v>5.0863702487495056E-4</v>
      </c>
      <c r="T46" s="142"/>
      <c r="U46" s="698" t="str">
        <f t="shared" si="7"/>
        <v>Y</v>
      </c>
      <c r="V46" s="670" t="str">
        <f t="shared" si="8"/>
        <v>SM09 SM10 SM13</v>
      </c>
      <c r="W46" s="530"/>
      <c r="X46" s="673">
        <v>1</v>
      </c>
      <c r="Y46" s="668">
        <f t="shared" ref="Y46" si="23">IF(U46="N",0,(N46*(1-O46)-S46)*(1-X46))</f>
        <v>0</v>
      </c>
      <c r="Z46" s="141"/>
      <c r="AA46" s="507" t="s">
        <v>1189</v>
      </c>
      <c r="AB46" s="135"/>
    </row>
    <row r="47" spans="1:28" ht="15.75">
      <c r="A47" s="136"/>
      <c r="B47" s="721" t="s">
        <v>358</v>
      </c>
      <c r="C47" s="131">
        <v>25</v>
      </c>
      <c r="D47" s="670" t="s">
        <v>929</v>
      </c>
      <c r="E47" s="131">
        <v>26</v>
      </c>
      <c r="F47" s="670" t="s">
        <v>924</v>
      </c>
      <c r="G47" s="712">
        <f t="shared" si="3"/>
        <v>5.0863702487495006E-2</v>
      </c>
      <c r="H47" s="663" t="s">
        <v>1192</v>
      </c>
      <c r="I47" s="676" t="s">
        <v>1401</v>
      </c>
      <c r="J47" s="714" t="s">
        <v>884</v>
      </c>
      <c r="K47" s="142"/>
      <c r="L47" s="665">
        <v>1</v>
      </c>
      <c r="M47" s="671" t="s">
        <v>1035</v>
      </c>
      <c r="N47" s="530">
        <f t="shared" ref="N47:N48" si="24">G47*L47</f>
        <v>5.0863702487495006E-2</v>
      </c>
      <c r="O47" s="671">
        <f t="shared" ref="O47:O48" si="25">IF(M47="N",100%,0%)</f>
        <v>0</v>
      </c>
      <c r="P47" s="670" t="s">
        <v>1187</v>
      </c>
      <c r="Q47" s="530"/>
      <c r="R47" s="673">
        <v>0.99</v>
      </c>
      <c r="S47" s="674">
        <f t="shared" si="22"/>
        <v>5.0863702487495056E-4</v>
      </c>
      <c r="T47" s="142"/>
      <c r="U47" s="698" t="str">
        <f t="shared" si="7"/>
        <v>Y</v>
      </c>
      <c r="V47" s="670" t="str">
        <f t="shared" si="8"/>
        <v>SM09 SM10 SM13</v>
      </c>
      <c r="W47" s="530"/>
      <c r="X47" s="673">
        <v>1</v>
      </c>
      <c r="Y47" s="668">
        <f t="shared" ref="Y47:Y48" si="26">IF(U47="N",0,(N47*(1-O47)-S47)*(1-X47))</f>
        <v>0</v>
      </c>
      <c r="Z47" s="141"/>
      <c r="AA47" s="507" t="s">
        <v>1189</v>
      </c>
      <c r="AB47" s="135"/>
    </row>
    <row r="48" spans="1:28" ht="15.75">
      <c r="A48" s="136"/>
      <c r="B48" s="721" t="s">
        <v>359</v>
      </c>
      <c r="C48" s="131">
        <v>26</v>
      </c>
      <c r="D48" s="670" t="s">
        <v>924</v>
      </c>
      <c r="E48" s="131">
        <v>27</v>
      </c>
      <c r="F48" s="670" t="s">
        <v>927</v>
      </c>
      <c r="G48" s="712">
        <f t="shared" si="3"/>
        <v>5.0863702487495006E-2</v>
      </c>
      <c r="H48" s="663" t="s">
        <v>1192</v>
      </c>
      <c r="I48" s="676" t="s">
        <v>1401</v>
      </c>
      <c r="J48" s="714" t="s">
        <v>884</v>
      </c>
      <c r="K48" s="142"/>
      <c r="L48" s="665">
        <v>1</v>
      </c>
      <c r="M48" s="671" t="s">
        <v>1035</v>
      </c>
      <c r="N48" s="530">
        <f t="shared" si="24"/>
        <v>5.0863702487495006E-2</v>
      </c>
      <c r="O48" s="671">
        <f t="shared" si="25"/>
        <v>0</v>
      </c>
      <c r="P48" s="670" t="s">
        <v>1187</v>
      </c>
      <c r="Q48" s="530"/>
      <c r="R48" s="673">
        <v>0.99</v>
      </c>
      <c r="S48" s="674">
        <f t="shared" si="22"/>
        <v>5.0863702487495056E-4</v>
      </c>
      <c r="T48" s="142"/>
      <c r="U48" s="698" t="str">
        <f t="shared" si="7"/>
        <v>Y</v>
      </c>
      <c r="V48" s="670" t="str">
        <f t="shared" si="8"/>
        <v>SM09 SM10 SM13</v>
      </c>
      <c r="W48" s="530"/>
      <c r="X48" s="673">
        <v>1</v>
      </c>
      <c r="Y48" s="668">
        <f t="shared" si="26"/>
        <v>0</v>
      </c>
      <c r="Z48" s="141"/>
      <c r="AA48" s="507" t="s">
        <v>1189</v>
      </c>
      <c r="AB48" s="135"/>
    </row>
    <row r="49" spans="1:28">
      <c r="A49" s="136"/>
      <c r="B49" s="721" t="s">
        <v>360</v>
      </c>
      <c r="C49" s="131">
        <v>27</v>
      </c>
      <c r="D49" s="670" t="s">
        <v>927</v>
      </c>
      <c r="E49" s="131">
        <v>28</v>
      </c>
      <c r="F49" s="670" t="s">
        <v>921</v>
      </c>
      <c r="G49" s="712">
        <f t="shared" si="3"/>
        <v>5.0863702487495006E-2</v>
      </c>
      <c r="H49" s="670" t="s">
        <v>1179</v>
      </c>
      <c r="I49" s="712" t="s">
        <v>1242</v>
      </c>
      <c r="J49" s="714" t="s">
        <v>1037</v>
      </c>
      <c r="K49" s="142"/>
      <c r="L49" s="665">
        <v>1</v>
      </c>
      <c r="M49" s="671" t="s">
        <v>78</v>
      </c>
      <c r="N49" s="530">
        <f t="shared" ref="N49:N50" si="27">G49*L49</f>
        <v>5.0863702487495006E-2</v>
      </c>
      <c r="O49" s="671">
        <f t="shared" ref="O49:O50" si="28">IF(M49="N",100%,0%)</f>
        <v>1</v>
      </c>
      <c r="P49" s="722" t="s">
        <v>857</v>
      </c>
      <c r="Q49" s="530"/>
      <c r="R49" s="673"/>
      <c r="S49" s="674"/>
      <c r="T49" s="142"/>
      <c r="U49" s="698" t="str">
        <f t="shared" si="7"/>
        <v>N</v>
      </c>
      <c r="V49" s="670" t="str">
        <f t="shared" si="8"/>
        <v/>
      </c>
      <c r="W49" s="530"/>
      <c r="X49" s="673"/>
      <c r="Y49" s="668"/>
      <c r="Z49" s="141"/>
      <c r="AA49" s="517"/>
      <c r="AB49" s="135"/>
    </row>
    <row r="50" spans="1:28">
      <c r="A50" s="136"/>
      <c r="B50" s="721" t="s">
        <v>361</v>
      </c>
      <c r="C50" s="131">
        <v>28</v>
      </c>
      <c r="D50" s="670" t="s">
        <v>921</v>
      </c>
      <c r="E50" s="131">
        <v>29</v>
      </c>
      <c r="F50" s="670" t="s">
        <v>928</v>
      </c>
      <c r="G50" s="712">
        <f t="shared" si="3"/>
        <v>5.0863702487495006E-2</v>
      </c>
      <c r="H50" s="670" t="s">
        <v>1179</v>
      </c>
      <c r="I50" s="712" t="s">
        <v>1242</v>
      </c>
      <c r="J50" s="714" t="s">
        <v>1037</v>
      </c>
      <c r="K50" s="142"/>
      <c r="L50" s="665">
        <v>1</v>
      </c>
      <c r="M50" s="671" t="s">
        <v>78</v>
      </c>
      <c r="N50" s="530">
        <f t="shared" si="27"/>
        <v>5.0863702487495006E-2</v>
      </c>
      <c r="O50" s="671">
        <f t="shared" si="28"/>
        <v>1</v>
      </c>
      <c r="P50" s="722" t="s">
        <v>857</v>
      </c>
      <c r="Q50" s="530"/>
      <c r="R50" s="673"/>
      <c r="S50" s="674"/>
      <c r="T50" s="142"/>
      <c r="U50" s="698" t="str">
        <f t="shared" si="7"/>
        <v>N</v>
      </c>
      <c r="V50" s="670" t="str">
        <f t="shared" si="8"/>
        <v/>
      </c>
      <c r="W50" s="530"/>
      <c r="X50" s="673"/>
      <c r="Y50" s="668"/>
      <c r="Z50" s="141"/>
      <c r="AA50" s="517"/>
      <c r="AB50" s="135"/>
    </row>
    <row r="51" spans="1:28" ht="30">
      <c r="A51" s="136"/>
      <c r="B51" s="721" t="s">
        <v>362</v>
      </c>
      <c r="C51" s="131">
        <v>29</v>
      </c>
      <c r="D51" s="670" t="s">
        <v>928</v>
      </c>
      <c r="E51" s="131">
        <v>30</v>
      </c>
      <c r="F51" s="670" t="s">
        <v>934</v>
      </c>
      <c r="G51" s="712">
        <f t="shared" si="3"/>
        <v>5.0863702487495006E-2</v>
      </c>
      <c r="H51" s="670" t="s">
        <v>1194</v>
      </c>
      <c r="I51" s="663" t="s">
        <v>1174</v>
      </c>
      <c r="J51" s="714" t="s">
        <v>884</v>
      </c>
      <c r="K51" s="142"/>
      <c r="L51" s="665">
        <v>1</v>
      </c>
      <c r="M51" s="671" t="s">
        <v>1035</v>
      </c>
      <c r="N51" s="530">
        <f t="shared" ref="N51:N53" si="29">G51*L51</f>
        <v>5.0863702487495006E-2</v>
      </c>
      <c r="O51" s="671">
        <f t="shared" si="9"/>
        <v>0</v>
      </c>
      <c r="P51" s="670" t="s">
        <v>1202</v>
      </c>
      <c r="Q51" s="530"/>
      <c r="R51" s="673">
        <v>0.99</v>
      </c>
      <c r="S51" s="674">
        <f t="shared" si="16"/>
        <v>5.0863702487495056E-4</v>
      </c>
      <c r="T51" s="142"/>
      <c r="U51" s="698" t="str">
        <f t="shared" ref="U51" si="30">M51</f>
        <v>Y</v>
      </c>
      <c r="V51" s="670" t="str">
        <f t="shared" si="8"/>
        <v>SM14 SM22</v>
      </c>
      <c r="W51" s="530"/>
      <c r="X51" s="673">
        <v>1</v>
      </c>
      <c r="Y51" s="668">
        <f t="shared" ref="Y51" si="31">IF(U51="N",0,(N51*(1-O51)-S51)*(1-X51))</f>
        <v>0</v>
      </c>
      <c r="Z51" s="141"/>
      <c r="AA51" s="517" t="s">
        <v>1205</v>
      </c>
      <c r="AB51" s="135"/>
    </row>
    <row r="52" spans="1:28">
      <c r="A52" s="136"/>
      <c r="B52" s="721" t="s">
        <v>363</v>
      </c>
      <c r="C52" s="131">
        <v>30</v>
      </c>
      <c r="D52" s="670" t="s">
        <v>934</v>
      </c>
      <c r="E52" s="131">
        <v>31</v>
      </c>
      <c r="F52" s="670" t="s">
        <v>922</v>
      </c>
      <c r="G52" s="712">
        <f t="shared" si="3"/>
        <v>5.0863702487495006E-2</v>
      </c>
      <c r="H52" s="670" t="s">
        <v>1179</v>
      </c>
      <c r="I52" s="712" t="s">
        <v>1242</v>
      </c>
      <c r="J52" s="714" t="s">
        <v>1037</v>
      </c>
      <c r="K52" s="142"/>
      <c r="L52" s="665">
        <v>1</v>
      </c>
      <c r="M52" s="671" t="s">
        <v>78</v>
      </c>
      <c r="N52" s="530">
        <f t="shared" si="29"/>
        <v>5.0863702487495006E-2</v>
      </c>
      <c r="O52" s="671">
        <f t="shared" si="9"/>
        <v>1</v>
      </c>
      <c r="P52" s="722" t="s">
        <v>857</v>
      </c>
      <c r="Q52" s="530"/>
      <c r="R52" s="673"/>
      <c r="S52" s="674"/>
      <c r="T52" s="142"/>
      <c r="U52" s="698" t="str">
        <f t="shared" si="7"/>
        <v>N</v>
      </c>
      <c r="V52" s="670" t="str">
        <f t="shared" si="8"/>
        <v/>
      </c>
      <c r="W52" s="530"/>
      <c r="X52" s="673"/>
      <c r="Y52" s="668"/>
      <c r="Z52" s="141"/>
      <c r="AA52" s="517"/>
      <c r="AB52" s="135"/>
    </row>
    <row r="53" spans="1:28">
      <c r="A53" s="136"/>
      <c r="B53" s="721" t="s">
        <v>364</v>
      </c>
      <c r="C53" s="131">
        <v>31</v>
      </c>
      <c r="D53" s="670" t="s">
        <v>922</v>
      </c>
      <c r="E53" s="131">
        <v>32</v>
      </c>
      <c r="F53" s="670" t="s">
        <v>925</v>
      </c>
      <c r="G53" s="712">
        <f t="shared" si="3"/>
        <v>5.0863702487495006E-2</v>
      </c>
      <c r="H53" s="670" t="s">
        <v>1179</v>
      </c>
      <c r="I53" s="712" t="s">
        <v>1242</v>
      </c>
      <c r="J53" s="714" t="s">
        <v>1037</v>
      </c>
      <c r="K53" s="142"/>
      <c r="L53" s="665">
        <v>1</v>
      </c>
      <c r="M53" s="671" t="s">
        <v>78</v>
      </c>
      <c r="N53" s="530">
        <f t="shared" si="29"/>
        <v>5.0863702487495006E-2</v>
      </c>
      <c r="O53" s="671">
        <f t="shared" si="9"/>
        <v>1</v>
      </c>
      <c r="P53" s="722" t="s">
        <v>857</v>
      </c>
      <c r="Q53" s="530"/>
      <c r="R53" s="673"/>
      <c r="S53" s="674"/>
      <c r="T53" s="142"/>
      <c r="U53" s="698" t="str">
        <f t="shared" si="7"/>
        <v>N</v>
      </c>
      <c r="V53" s="670" t="str">
        <f t="shared" si="8"/>
        <v/>
      </c>
      <c r="W53" s="530"/>
      <c r="X53" s="673"/>
      <c r="Y53" s="668"/>
      <c r="Z53" s="141"/>
      <c r="AA53" s="517"/>
      <c r="AB53" s="135"/>
    </row>
    <row r="54" spans="1:28">
      <c r="A54" s="136"/>
      <c r="B54" s="721" t="s">
        <v>365</v>
      </c>
      <c r="C54" s="131">
        <v>32</v>
      </c>
      <c r="D54" s="670" t="s">
        <v>925</v>
      </c>
      <c r="E54" s="131">
        <v>33</v>
      </c>
      <c r="F54" s="670" t="s">
        <v>931</v>
      </c>
      <c r="G54" s="712">
        <f t="shared" si="3"/>
        <v>5.0863702487495006E-2</v>
      </c>
      <c r="H54" s="663" t="s">
        <v>1172</v>
      </c>
      <c r="I54" s="663" t="s">
        <v>1172</v>
      </c>
      <c r="J54" s="714" t="s">
        <v>884</v>
      </c>
      <c r="K54" s="142"/>
      <c r="L54" s="665">
        <v>1</v>
      </c>
      <c r="M54" s="671" t="s">
        <v>1035</v>
      </c>
      <c r="N54" s="530">
        <f t="shared" si="0"/>
        <v>5.0863702487495006E-2</v>
      </c>
      <c r="O54" s="671">
        <f t="shared" ref="O54:O65" si="32">IF(M54="N",100%,0%)</f>
        <v>0</v>
      </c>
      <c r="P54" s="693" t="s">
        <v>1182</v>
      </c>
      <c r="Q54" s="530"/>
      <c r="R54" s="673">
        <v>0.99</v>
      </c>
      <c r="S54" s="674">
        <f t="shared" ref="S54:S62" si="33">IF(M54="N",0,N54*(1-O54)*(1-R54))</f>
        <v>5.0863702487495056E-4</v>
      </c>
      <c r="T54" s="142"/>
      <c r="U54" s="698" t="str">
        <f t="shared" ref="U54:U62" si="34">M54</f>
        <v>Y</v>
      </c>
      <c r="V54" s="670" t="str">
        <f t="shared" si="8"/>
        <v>SM05 SM06</v>
      </c>
      <c r="W54" s="530"/>
      <c r="X54" s="673">
        <v>0.8</v>
      </c>
      <c r="Y54" s="668">
        <f t="shared" ref="Y54:Y62" si="35">IF(U54="N",0,(N54*(1-O54)-S54)*(1-X54))</f>
        <v>1.0071013092524009E-2</v>
      </c>
      <c r="Z54" s="141"/>
      <c r="AA54" s="517" t="s">
        <v>1191</v>
      </c>
      <c r="AB54" s="135"/>
    </row>
    <row r="55" spans="1:28">
      <c r="A55" s="136"/>
      <c r="B55" s="721" t="s">
        <v>366</v>
      </c>
      <c r="C55" s="131">
        <v>33</v>
      </c>
      <c r="D55" s="670" t="s">
        <v>931</v>
      </c>
      <c r="E55" s="131">
        <v>34</v>
      </c>
      <c r="F55" s="670" t="s">
        <v>930</v>
      </c>
      <c r="G55" s="712">
        <f t="shared" si="3"/>
        <v>5.0863702487495006E-2</v>
      </c>
      <c r="H55" s="663" t="s">
        <v>1172</v>
      </c>
      <c r="I55" s="663" t="s">
        <v>1172</v>
      </c>
      <c r="J55" s="714" t="s">
        <v>884</v>
      </c>
      <c r="K55" s="142"/>
      <c r="L55" s="665">
        <v>1</v>
      </c>
      <c r="M55" s="671" t="s">
        <v>1035</v>
      </c>
      <c r="N55" s="530">
        <f t="shared" si="0"/>
        <v>5.0863702487495006E-2</v>
      </c>
      <c r="O55" s="671">
        <f t="shared" si="32"/>
        <v>0</v>
      </c>
      <c r="P55" s="693" t="s">
        <v>1182</v>
      </c>
      <c r="Q55" s="530"/>
      <c r="R55" s="673">
        <v>0.99</v>
      </c>
      <c r="S55" s="674">
        <f t="shared" si="33"/>
        <v>5.0863702487495056E-4</v>
      </c>
      <c r="T55" s="142"/>
      <c r="U55" s="698" t="str">
        <f t="shared" si="34"/>
        <v>Y</v>
      </c>
      <c r="V55" s="670" t="str">
        <f t="shared" si="8"/>
        <v>SM05 SM06</v>
      </c>
      <c r="W55" s="530"/>
      <c r="X55" s="673">
        <v>0.8</v>
      </c>
      <c r="Y55" s="668">
        <f t="shared" si="35"/>
        <v>1.0071013092524009E-2</v>
      </c>
      <c r="Z55" s="141"/>
      <c r="AA55" s="517" t="s">
        <v>1191</v>
      </c>
      <c r="AB55" s="135"/>
    </row>
    <row r="56" spans="1:28">
      <c r="A56" s="136"/>
      <c r="B56" s="721" t="s">
        <v>367</v>
      </c>
      <c r="C56" s="131">
        <v>34</v>
      </c>
      <c r="D56" s="670" t="s">
        <v>930</v>
      </c>
      <c r="E56" s="131">
        <v>35</v>
      </c>
      <c r="F56" s="670" t="s">
        <v>926</v>
      </c>
      <c r="G56" s="712">
        <f t="shared" si="3"/>
        <v>5.0863702487495006E-2</v>
      </c>
      <c r="H56" s="663" t="s">
        <v>1172</v>
      </c>
      <c r="I56" s="663" t="s">
        <v>1172</v>
      </c>
      <c r="J56" s="714" t="s">
        <v>884</v>
      </c>
      <c r="K56" s="142"/>
      <c r="L56" s="665">
        <v>1</v>
      </c>
      <c r="M56" s="671" t="s">
        <v>1035</v>
      </c>
      <c r="N56" s="530">
        <f t="shared" si="0"/>
        <v>5.0863702487495006E-2</v>
      </c>
      <c r="O56" s="671">
        <f t="shared" si="32"/>
        <v>0</v>
      </c>
      <c r="P56" s="693" t="s">
        <v>1182</v>
      </c>
      <c r="Q56" s="530"/>
      <c r="R56" s="673">
        <v>0.99</v>
      </c>
      <c r="S56" s="674">
        <f t="shared" si="33"/>
        <v>5.0863702487495056E-4</v>
      </c>
      <c r="T56" s="142"/>
      <c r="U56" s="698" t="str">
        <f t="shared" si="34"/>
        <v>Y</v>
      </c>
      <c r="V56" s="670" t="str">
        <f t="shared" si="8"/>
        <v>SM05 SM06</v>
      </c>
      <c r="W56" s="530"/>
      <c r="X56" s="673">
        <v>0.8</v>
      </c>
      <c r="Y56" s="668">
        <f t="shared" si="35"/>
        <v>1.0071013092524009E-2</v>
      </c>
      <c r="Z56" s="141"/>
      <c r="AA56" s="517" t="s">
        <v>1191</v>
      </c>
      <c r="AB56" s="135"/>
    </row>
    <row r="57" spans="1:28">
      <c r="A57" s="136"/>
      <c r="B57" s="721" t="s">
        <v>368</v>
      </c>
      <c r="C57" s="131">
        <v>35</v>
      </c>
      <c r="D57" s="670" t="s">
        <v>926</v>
      </c>
      <c r="E57" s="131">
        <v>36</v>
      </c>
      <c r="F57" s="670" t="s">
        <v>923</v>
      </c>
      <c r="G57" s="712">
        <f t="shared" si="3"/>
        <v>5.0863702487495006E-2</v>
      </c>
      <c r="H57" s="663" t="s">
        <v>1172</v>
      </c>
      <c r="I57" s="663" t="s">
        <v>1172</v>
      </c>
      <c r="J57" s="714" t="s">
        <v>884</v>
      </c>
      <c r="K57" s="142"/>
      <c r="L57" s="665">
        <v>1</v>
      </c>
      <c r="M57" s="671" t="s">
        <v>1035</v>
      </c>
      <c r="N57" s="530">
        <f t="shared" si="0"/>
        <v>5.0863702487495006E-2</v>
      </c>
      <c r="O57" s="671">
        <f t="shared" si="32"/>
        <v>0</v>
      </c>
      <c r="P57" s="693" t="s">
        <v>1182</v>
      </c>
      <c r="Q57" s="530"/>
      <c r="R57" s="673">
        <v>0.99</v>
      </c>
      <c r="S57" s="674">
        <f t="shared" si="33"/>
        <v>5.0863702487495056E-4</v>
      </c>
      <c r="T57" s="142"/>
      <c r="U57" s="698" t="str">
        <f t="shared" si="34"/>
        <v>Y</v>
      </c>
      <c r="V57" s="670" t="str">
        <f t="shared" si="8"/>
        <v>SM05 SM06</v>
      </c>
      <c r="W57" s="530"/>
      <c r="X57" s="673">
        <v>0.8</v>
      </c>
      <c r="Y57" s="668">
        <f t="shared" si="35"/>
        <v>1.0071013092524009E-2</v>
      </c>
      <c r="Z57" s="141"/>
      <c r="AA57" s="517" t="s">
        <v>1191</v>
      </c>
      <c r="AB57" s="135"/>
    </row>
    <row r="58" spans="1:28">
      <c r="A58" s="136"/>
      <c r="B58" s="721" t="s">
        <v>369</v>
      </c>
      <c r="C58" s="131">
        <v>36</v>
      </c>
      <c r="D58" s="670" t="s">
        <v>923</v>
      </c>
      <c r="E58" s="131">
        <v>37</v>
      </c>
      <c r="F58" s="670" t="s">
        <v>917</v>
      </c>
      <c r="G58" s="712">
        <f t="shared" si="3"/>
        <v>5.0863702487495006E-2</v>
      </c>
      <c r="H58" s="663" t="s">
        <v>1172</v>
      </c>
      <c r="I58" s="663" t="s">
        <v>1172</v>
      </c>
      <c r="J58" s="714" t="s">
        <v>884</v>
      </c>
      <c r="K58" s="142"/>
      <c r="L58" s="665">
        <v>1</v>
      </c>
      <c r="M58" s="671" t="s">
        <v>1035</v>
      </c>
      <c r="N58" s="530">
        <f t="shared" si="0"/>
        <v>5.0863702487495006E-2</v>
      </c>
      <c r="O58" s="671">
        <f t="shared" si="32"/>
        <v>0</v>
      </c>
      <c r="P58" s="693" t="s">
        <v>1182</v>
      </c>
      <c r="Q58" s="530"/>
      <c r="R58" s="673">
        <v>0.99</v>
      </c>
      <c r="S58" s="674">
        <f t="shared" si="33"/>
        <v>5.0863702487495056E-4</v>
      </c>
      <c r="T58" s="142"/>
      <c r="U58" s="698" t="str">
        <f t="shared" si="34"/>
        <v>Y</v>
      </c>
      <c r="V58" s="670" t="str">
        <f t="shared" si="8"/>
        <v>SM05 SM06</v>
      </c>
      <c r="W58" s="530"/>
      <c r="X58" s="673">
        <v>0.8</v>
      </c>
      <c r="Y58" s="668">
        <f t="shared" si="35"/>
        <v>1.0071013092524009E-2</v>
      </c>
      <c r="Z58" s="141"/>
      <c r="AA58" s="517" t="s">
        <v>1191</v>
      </c>
      <c r="AB58" s="135"/>
    </row>
    <row r="59" spans="1:28">
      <c r="A59" s="136"/>
      <c r="B59" s="721" t="s">
        <v>370</v>
      </c>
      <c r="C59" s="131">
        <v>37</v>
      </c>
      <c r="D59" s="670" t="s">
        <v>917</v>
      </c>
      <c r="E59" s="131">
        <v>38</v>
      </c>
      <c r="F59" s="670" t="s">
        <v>912</v>
      </c>
      <c r="G59" s="712">
        <f t="shared" si="3"/>
        <v>5.0863702487495006E-2</v>
      </c>
      <c r="H59" s="663" t="s">
        <v>1172</v>
      </c>
      <c r="I59" s="663" t="s">
        <v>1172</v>
      </c>
      <c r="J59" s="714" t="s">
        <v>884</v>
      </c>
      <c r="K59" s="142"/>
      <c r="L59" s="665">
        <v>1</v>
      </c>
      <c r="M59" s="671" t="s">
        <v>1035</v>
      </c>
      <c r="N59" s="530">
        <f t="shared" si="0"/>
        <v>5.0863702487495006E-2</v>
      </c>
      <c r="O59" s="671">
        <f t="shared" si="32"/>
        <v>0</v>
      </c>
      <c r="P59" s="693" t="s">
        <v>1182</v>
      </c>
      <c r="Q59" s="530"/>
      <c r="R59" s="673">
        <v>0.99</v>
      </c>
      <c r="S59" s="674">
        <f t="shared" si="33"/>
        <v>5.0863702487495056E-4</v>
      </c>
      <c r="T59" s="142"/>
      <c r="U59" s="698" t="str">
        <f t="shared" si="34"/>
        <v>Y</v>
      </c>
      <c r="V59" s="670" t="str">
        <f t="shared" si="8"/>
        <v>SM05 SM06</v>
      </c>
      <c r="W59" s="530"/>
      <c r="X59" s="673">
        <v>0.8</v>
      </c>
      <c r="Y59" s="668">
        <f t="shared" si="35"/>
        <v>1.0071013092524009E-2</v>
      </c>
      <c r="Z59" s="141"/>
      <c r="AA59" s="517" t="s">
        <v>1191</v>
      </c>
      <c r="AB59" s="135"/>
    </row>
    <row r="60" spans="1:28">
      <c r="A60" s="136"/>
      <c r="B60" s="721" t="s">
        <v>371</v>
      </c>
      <c r="C60" s="131">
        <v>38</v>
      </c>
      <c r="D60" s="670" t="s">
        <v>912</v>
      </c>
      <c r="E60" s="131">
        <v>39</v>
      </c>
      <c r="F60" s="670" t="s">
        <v>915</v>
      </c>
      <c r="G60" s="712">
        <f t="shared" si="3"/>
        <v>5.0863702487495006E-2</v>
      </c>
      <c r="H60" s="663" t="s">
        <v>1172</v>
      </c>
      <c r="I60" s="663" t="s">
        <v>1172</v>
      </c>
      <c r="J60" s="714" t="s">
        <v>884</v>
      </c>
      <c r="K60" s="142"/>
      <c r="L60" s="665">
        <v>1</v>
      </c>
      <c r="M60" s="671" t="s">
        <v>1035</v>
      </c>
      <c r="N60" s="530">
        <f t="shared" si="0"/>
        <v>5.0863702487495006E-2</v>
      </c>
      <c r="O60" s="671">
        <f t="shared" si="32"/>
        <v>0</v>
      </c>
      <c r="P60" s="693" t="s">
        <v>1182</v>
      </c>
      <c r="Q60" s="530"/>
      <c r="R60" s="673">
        <v>0.99</v>
      </c>
      <c r="S60" s="674">
        <f t="shared" si="33"/>
        <v>5.0863702487495056E-4</v>
      </c>
      <c r="T60" s="142"/>
      <c r="U60" s="698" t="str">
        <f t="shared" si="34"/>
        <v>Y</v>
      </c>
      <c r="V60" s="670" t="str">
        <f t="shared" si="8"/>
        <v>SM05 SM06</v>
      </c>
      <c r="W60" s="530"/>
      <c r="X60" s="673">
        <v>0.8</v>
      </c>
      <c r="Y60" s="668">
        <f t="shared" si="35"/>
        <v>1.0071013092524009E-2</v>
      </c>
      <c r="Z60" s="141"/>
      <c r="AA60" s="517" t="s">
        <v>1191</v>
      </c>
      <c r="AB60" s="135"/>
    </row>
    <row r="61" spans="1:28">
      <c r="A61" s="136"/>
      <c r="B61" s="721" t="s">
        <v>372</v>
      </c>
      <c r="C61" s="131">
        <v>39</v>
      </c>
      <c r="D61" s="670" t="s">
        <v>915</v>
      </c>
      <c r="E61" s="131">
        <v>40</v>
      </c>
      <c r="F61" s="670" t="s">
        <v>920</v>
      </c>
      <c r="G61" s="712">
        <f t="shared" si="3"/>
        <v>5.0863702487495006E-2</v>
      </c>
      <c r="H61" s="663" t="s">
        <v>1172</v>
      </c>
      <c r="I61" s="663" t="s">
        <v>1172</v>
      </c>
      <c r="J61" s="714" t="s">
        <v>884</v>
      </c>
      <c r="K61" s="142"/>
      <c r="L61" s="665">
        <v>1</v>
      </c>
      <c r="M61" s="671" t="s">
        <v>1035</v>
      </c>
      <c r="N61" s="530">
        <f t="shared" si="0"/>
        <v>5.0863702487495006E-2</v>
      </c>
      <c r="O61" s="671">
        <f t="shared" si="32"/>
        <v>0</v>
      </c>
      <c r="P61" s="693" t="s">
        <v>1182</v>
      </c>
      <c r="Q61" s="530"/>
      <c r="R61" s="673">
        <v>0.99</v>
      </c>
      <c r="S61" s="674">
        <f t="shared" si="33"/>
        <v>5.0863702487495056E-4</v>
      </c>
      <c r="T61" s="142"/>
      <c r="U61" s="698" t="str">
        <f t="shared" si="34"/>
        <v>Y</v>
      </c>
      <c r="V61" s="670" t="str">
        <f t="shared" si="8"/>
        <v>SM05 SM06</v>
      </c>
      <c r="W61" s="530"/>
      <c r="X61" s="673">
        <v>0.8</v>
      </c>
      <c r="Y61" s="668">
        <f t="shared" si="35"/>
        <v>1.0071013092524009E-2</v>
      </c>
      <c r="Z61" s="141"/>
      <c r="AA61" s="517" t="s">
        <v>1191</v>
      </c>
      <c r="AB61" s="135"/>
    </row>
    <row r="62" spans="1:28">
      <c r="A62" s="136"/>
      <c r="B62" s="721" t="s">
        <v>373</v>
      </c>
      <c r="C62" s="131">
        <v>40</v>
      </c>
      <c r="D62" s="670" t="s">
        <v>920</v>
      </c>
      <c r="E62" s="131">
        <v>41</v>
      </c>
      <c r="F62" s="670" t="s">
        <v>916</v>
      </c>
      <c r="G62" s="712">
        <f t="shared" si="3"/>
        <v>5.0863702487495006E-2</v>
      </c>
      <c r="H62" s="663" t="s">
        <v>1172</v>
      </c>
      <c r="I62" s="663" t="s">
        <v>1172</v>
      </c>
      <c r="J62" s="714" t="s">
        <v>884</v>
      </c>
      <c r="K62" s="142"/>
      <c r="L62" s="665">
        <v>1</v>
      </c>
      <c r="M62" s="671" t="s">
        <v>1035</v>
      </c>
      <c r="N62" s="530">
        <f t="shared" si="0"/>
        <v>5.0863702487495006E-2</v>
      </c>
      <c r="O62" s="671">
        <f t="shared" si="32"/>
        <v>0</v>
      </c>
      <c r="P62" s="693" t="s">
        <v>1182</v>
      </c>
      <c r="Q62" s="530"/>
      <c r="R62" s="673">
        <v>0.99</v>
      </c>
      <c r="S62" s="674">
        <f t="shared" si="33"/>
        <v>5.0863702487495056E-4</v>
      </c>
      <c r="T62" s="142"/>
      <c r="U62" s="698" t="str">
        <f t="shared" si="34"/>
        <v>Y</v>
      </c>
      <c r="V62" s="670" t="str">
        <f t="shared" si="8"/>
        <v>SM05 SM06</v>
      </c>
      <c r="W62" s="530"/>
      <c r="X62" s="673">
        <v>0.8</v>
      </c>
      <c r="Y62" s="668">
        <f t="shared" si="35"/>
        <v>1.0071013092524009E-2</v>
      </c>
      <c r="Z62" s="141"/>
      <c r="AA62" s="517" t="s">
        <v>1191</v>
      </c>
      <c r="AB62" s="135"/>
    </row>
    <row r="63" spans="1:28">
      <c r="A63" s="136"/>
      <c r="B63" s="721" t="s">
        <v>374</v>
      </c>
      <c r="C63" s="131">
        <v>41</v>
      </c>
      <c r="D63" s="670" t="s">
        <v>916</v>
      </c>
      <c r="E63" s="131">
        <v>42</v>
      </c>
      <c r="F63" s="670" t="s">
        <v>933</v>
      </c>
      <c r="G63" s="712">
        <f t="shared" si="3"/>
        <v>5.0863702487495006E-2</v>
      </c>
      <c r="H63" s="670" t="s">
        <v>1179</v>
      </c>
      <c r="I63" s="712" t="s">
        <v>1242</v>
      </c>
      <c r="J63" s="714" t="s">
        <v>1037</v>
      </c>
      <c r="K63" s="142"/>
      <c r="L63" s="665">
        <v>1</v>
      </c>
      <c r="M63" s="671" t="s">
        <v>78</v>
      </c>
      <c r="N63" s="530">
        <f t="shared" si="0"/>
        <v>5.0863702487495006E-2</v>
      </c>
      <c r="O63" s="671">
        <f t="shared" si="32"/>
        <v>1</v>
      </c>
      <c r="P63" s="722" t="s">
        <v>857</v>
      </c>
      <c r="Q63" s="530"/>
      <c r="R63" s="673"/>
      <c r="S63" s="674"/>
      <c r="T63" s="142"/>
      <c r="U63" s="698" t="str">
        <f t="shared" si="7"/>
        <v>N</v>
      </c>
      <c r="V63" s="670" t="str">
        <f t="shared" si="8"/>
        <v/>
      </c>
      <c r="W63" s="530"/>
      <c r="X63" s="673"/>
      <c r="Y63" s="668"/>
      <c r="Z63" s="141"/>
      <c r="AA63" s="517"/>
      <c r="AB63" s="135"/>
    </row>
    <row r="64" spans="1:28" s="72" customFormat="1">
      <c r="A64" s="136"/>
      <c r="B64" s="721" t="s">
        <v>375</v>
      </c>
      <c r="C64" s="131">
        <v>42</v>
      </c>
      <c r="D64" s="670" t="s">
        <v>933</v>
      </c>
      <c r="E64" s="131">
        <v>43</v>
      </c>
      <c r="F64" s="670" t="s">
        <v>932</v>
      </c>
      <c r="G64" s="712">
        <f t="shared" si="3"/>
        <v>5.0863702487495006E-2</v>
      </c>
      <c r="H64" s="670" t="s">
        <v>1179</v>
      </c>
      <c r="I64" s="712" t="s">
        <v>1242</v>
      </c>
      <c r="J64" s="714" t="s">
        <v>1037</v>
      </c>
      <c r="K64" s="142"/>
      <c r="L64" s="665">
        <v>1</v>
      </c>
      <c r="M64" s="671" t="s">
        <v>78</v>
      </c>
      <c r="N64" s="530">
        <f t="shared" si="0"/>
        <v>5.0863702487495006E-2</v>
      </c>
      <c r="O64" s="671">
        <f t="shared" si="32"/>
        <v>1</v>
      </c>
      <c r="P64" s="722" t="s">
        <v>857</v>
      </c>
      <c r="Q64" s="530"/>
      <c r="R64" s="673"/>
      <c r="S64" s="674"/>
      <c r="T64" s="142"/>
      <c r="U64" s="698" t="str">
        <f t="shared" si="7"/>
        <v>N</v>
      </c>
      <c r="V64" s="670" t="str">
        <f t="shared" si="8"/>
        <v/>
      </c>
      <c r="W64" s="530"/>
      <c r="X64" s="673"/>
      <c r="Y64" s="668"/>
      <c r="Z64" s="141"/>
      <c r="AA64" s="517"/>
      <c r="AB64" s="135"/>
    </row>
    <row r="65" spans="1:28" s="72" customFormat="1">
      <c r="A65" s="136"/>
      <c r="B65" s="721" t="s">
        <v>376</v>
      </c>
      <c r="C65" s="131">
        <v>43</v>
      </c>
      <c r="D65" s="670" t="s">
        <v>932</v>
      </c>
      <c r="E65" s="131">
        <v>44</v>
      </c>
      <c r="F65" s="670" t="s">
        <v>913</v>
      </c>
      <c r="G65" s="712">
        <f t="shared" si="3"/>
        <v>5.0863702487495006E-2</v>
      </c>
      <c r="H65" s="670" t="s">
        <v>1179</v>
      </c>
      <c r="I65" s="712" t="s">
        <v>1242</v>
      </c>
      <c r="J65" s="714" t="s">
        <v>1037</v>
      </c>
      <c r="K65" s="142"/>
      <c r="L65" s="665">
        <v>1</v>
      </c>
      <c r="M65" s="671" t="s">
        <v>78</v>
      </c>
      <c r="N65" s="530">
        <f t="shared" si="0"/>
        <v>5.0863702487495006E-2</v>
      </c>
      <c r="O65" s="671">
        <f t="shared" si="32"/>
        <v>1</v>
      </c>
      <c r="P65" s="722" t="s">
        <v>857</v>
      </c>
      <c r="Q65" s="530"/>
      <c r="R65" s="673"/>
      <c r="S65" s="674"/>
      <c r="T65" s="142"/>
      <c r="U65" s="698" t="str">
        <f t="shared" si="7"/>
        <v>N</v>
      </c>
      <c r="V65" s="670" t="str">
        <f t="shared" si="8"/>
        <v/>
      </c>
      <c r="W65" s="530"/>
      <c r="X65" s="673"/>
      <c r="Y65" s="668"/>
      <c r="Z65" s="141"/>
      <c r="AA65" s="517"/>
      <c r="AB65" s="135"/>
    </row>
    <row r="66" spans="1:28" s="72" customFormat="1">
      <c r="A66" s="136"/>
      <c r="B66" s="721" t="s">
        <v>377</v>
      </c>
      <c r="C66" s="131">
        <v>44</v>
      </c>
      <c r="D66" s="670" t="s">
        <v>913</v>
      </c>
      <c r="E66" s="131">
        <v>45</v>
      </c>
      <c r="F66" s="670" t="s">
        <v>919</v>
      </c>
      <c r="G66" s="712">
        <f t="shared" si="3"/>
        <v>5.0863702487495006E-2</v>
      </c>
      <c r="H66" s="663" t="s">
        <v>1172</v>
      </c>
      <c r="I66" s="663" t="s">
        <v>1172</v>
      </c>
      <c r="J66" s="714" t="s">
        <v>884</v>
      </c>
      <c r="K66" s="142"/>
      <c r="L66" s="665">
        <v>1</v>
      </c>
      <c r="M66" s="671" t="s">
        <v>1035</v>
      </c>
      <c r="N66" s="530">
        <f t="shared" ref="N66:N70" si="36">G66*L66</f>
        <v>5.0863702487495006E-2</v>
      </c>
      <c r="O66" s="671">
        <f t="shared" ref="O66:O70" si="37">IF(M66="N",100%,0%)</f>
        <v>0</v>
      </c>
      <c r="P66" s="693" t="s">
        <v>1182</v>
      </c>
      <c r="Q66" s="530"/>
      <c r="R66" s="673">
        <v>0.99</v>
      </c>
      <c r="S66" s="674">
        <f t="shared" ref="S66:S70" si="38">IF(M66="N",0,N66*(1-O66)*(1-R66))</f>
        <v>5.0863702487495056E-4</v>
      </c>
      <c r="T66" s="142"/>
      <c r="U66" s="698" t="str">
        <f t="shared" ref="U66:U70" si="39">M66</f>
        <v>Y</v>
      </c>
      <c r="V66" s="670" t="str">
        <f t="shared" si="8"/>
        <v>SM05 SM06</v>
      </c>
      <c r="W66" s="530"/>
      <c r="X66" s="673">
        <v>0.8</v>
      </c>
      <c r="Y66" s="668">
        <f t="shared" ref="Y66:Y70" si="40">IF(U66="N",0,(N66*(1-O66)-S66)*(1-X66))</f>
        <v>1.0071013092524009E-2</v>
      </c>
      <c r="Z66" s="141"/>
      <c r="AA66" s="517" t="s">
        <v>1191</v>
      </c>
      <c r="AB66" s="135"/>
    </row>
    <row r="67" spans="1:28" s="72" customFormat="1">
      <c r="A67" s="136"/>
      <c r="B67" s="721" t="s">
        <v>378</v>
      </c>
      <c r="C67" s="131">
        <v>45</v>
      </c>
      <c r="D67" s="670" t="s">
        <v>919</v>
      </c>
      <c r="E67" s="131">
        <v>46</v>
      </c>
      <c r="F67" s="670" t="s">
        <v>918</v>
      </c>
      <c r="G67" s="712">
        <f t="shared" si="3"/>
        <v>5.0863702487495006E-2</v>
      </c>
      <c r="H67" s="663" t="s">
        <v>1172</v>
      </c>
      <c r="I67" s="663" t="s">
        <v>1172</v>
      </c>
      <c r="J67" s="714" t="s">
        <v>884</v>
      </c>
      <c r="K67" s="142"/>
      <c r="L67" s="665">
        <v>1</v>
      </c>
      <c r="M67" s="671" t="s">
        <v>1035</v>
      </c>
      <c r="N67" s="530">
        <f t="shared" si="36"/>
        <v>5.0863702487495006E-2</v>
      </c>
      <c r="O67" s="671">
        <f t="shared" si="37"/>
        <v>0</v>
      </c>
      <c r="P67" s="693" t="s">
        <v>1182</v>
      </c>
      <c r="Q67" s="530"/>
      <c r="R67" s="673">
        <v>0.99</v>
      </c>
      <c r="S67" s="674">
        <f t="shared" si="38"/>
        <v>5.0863702487495056E-4</v>
      </c>
      <c r="T67" s="142"/>
      <c r="U67" s="698" t="str">
        <f t="shared" si="39"/>
        <v>Y</v>
      </c>
      <c r="V67" s="670" t="str">
        <f t="shared" si="8"/>
        <v>SM05 SM06</v>
      </c>
      <c r="W67" s="530"/>
      <c r="X67" s="673">
        <v>0.8</v>
      </c>
      <c r="Y67" s="668">
        <f t="shared" si="40"/>
        <v>1.0071013092524009E-2</v>
      </c>
      <c r="Z67" s="141"/>
      <c r="AA67" s="517" t="s">
        <v>1191</v>
      </c>
      <c r="AB67" s="135"/>
    </row>
    <row r="68" spans="1:28" s="72" customFormat="1">
      <c r="A68" s="136"/>
      <c r="B68" s="721" t="s">
        <v>379</v>
      </c>
      <c r="C68" s="131">
        <v>46</v>
      </c>
      <c r="D68" s="670" t="s">
        <v>918</v>
      </c>
      <c r="E68" s="131">
        <v>47</v>
      </c>
      <c r="F68" s="670" t="s">
        <v>914</v>
      </c>
      <c r="G68" s="712">
        <f t="shared" si="3"/>
        <v>5.0863702487495006E-2</v>
      </c>
      <c r="H68" s="663" t="s">
        <v>1172</v>
      </c>
      <c r="I68" s="663" t="s">
        <v>1172</v>
      </c>
      <c r="J68" s="714" t="s">
        <v>884</v>
      </c>
      <c r="K68" s="142"/>
      <c r="L68" s="665">
        <v>1</v>
      </c>
      <c r="M68" s="671" t="s">
        <v>1035</v>
      </c>
      <c r="N68" s="530">
        <f t="shared" si="36"/>
        <v>5.0863702487495006E-2</v>
      </c>
      <c r="O68" s="671">
        <f t="shared" si="37"/>
        <v>0</v>
      </c>
      <c r="P68" s="693" t="s">
        <v>1182</v>
      </c>
      <c r="Q68" s="530"/>
      <c r="R68" s="673">
        <v>0.99</v>
      </c>
      <c r="S68" s="674">
        <f t="shared" si="38"/>
        <v>5.0863702487495056E-4</v>
      </c>
      <c r="T68" s="142"/>
      <c r="U68" s="698" t="str">
        <f t="shared" si="39"/>
        <v>Y</v>
      </c>
      <c r="V68" s="670" t="str">
        <f t="shared" si="8"/>
        <v>SM05 SM06</v>
      </c>
      <c r="W68" s="530"/>
      <c r="X68" s="673">
        <v>0.8</v>
      </c>
      <c r="Y68" s="668">
        <f t="shared" si="40"/>
        <v>1.0071013092524009E-2</v>
      </c>
      <c r="Z68" s="141"/>
      <c r="AA68" s="517" t="s">
        <v>1191</v>
      </c>
      <c r="AB68" s="135"/>
    </row>
    <row r="69" spans="1:28" s="72" customFormat="1">
      <c r="A69" s="136"/>
      <c r="B69" s="721" t="s">
        <v>380</v>
      </c>
      <c r="C69" s="131">
        <v>47</v>
      </c>
      <c r="D69" s="670" t="s">
        <v>914</v>
      </c>
      <c r="E69" s="131">
        <v>48</v>
      </c>
      <c r="F69" s="670" t="s">
        <v>911</v>
      </c>
      <c r="G69" s="712">
        <f t="shared" si="3"/>
        <v>5.0863702487495006E-2</v>
      </c>
      <c r="H69" s="663" t="s">
        <v>1172</v>
      </c>
      <c r="I69" s="663" t="s">
        <v>1172</v>
      </c>
      <c r="J69" s="714" t="s">
        <v>884</v>
      </c>
      <c r="K69" s="142"/>
      <c r="L69" s="665">
        <v>1</v>
      </c>
      <c r="M69" s="671" t="s">
        <v>1035</v>
      </c>
      <c r="N69" s="530">
        <f t="shared" si="36"/>
        <v>5.0863702487495006E-2</v>
      </c>
      <c r="O69" s="671">
        <f t="shared" si="37"/>
        <v>0</v>
      </c>
      <c r="P69" s="693" t="s">
        <v>1182</v>
      </c>
      <c r="Q69" s="530"/>
      <c r="R69" s="673">
        <v>0.99</v>
      </c>
      <c r="S69" s="674">
        <f t="shared" si="38"/>
        <v>5.0863702487495056E-4</v>
      </c>
      <c r="T69" s="142"/>
      <c r="U69" s="698" t="str">
        <f t="shared" si="39"/>
        <v>Y</v>
      </c>
      <c r="V69" s="670" t="str">
        <f t="shared" si="8"/>
        <v>SM05 SM06</v>
      </c>
      <c r="W69" s="530"/>
      <c r="X69" s="673">
        <v>0.8</v>
      </c>
      <c r="Y69" s="668">
        <f t="shared" si="40"/>
        <v>1.0071013092524009E-2</v>
      </c>
      <c r="Z69" s="141"/>
      <c r="AA69" s="517" t="s">
        <v>1191</v>
      </c>
      <c r="AB69" s="135"/>
    </row>
    <row r="70" spans="1:28" s="72" customFormat="1" ht="15.75" thickBot="1">
      <c r="A70" s="136"/>
      <c r="B70" s="724" t="s">
        <v>381</v>
      </c>
      <c r="C70" s="701">
        <v>48</v>
      </c>
      <c r="D70" s="702" t="s">
        <v>911</v>
      </c>
      <c r="E70" s="701">
        <v>1</v>
      </c>
      <c r="F70" s="702" t="s">
        <v>890</v>
      </c>
      <c r="G70" s="717">
        <f t="shared" si="3"/>
        <v>5.0863702487495006E-2</v>
      </c>
      <c r="H70" s="702" t="s">
        <v>1172</v>
      </c>
      <c r="I70" s="717" t="s">
        <v>1172</v>
      </c>
      <c r="J70" s="719" t="s">
        <v>884</v>
      </c>
      <c r="K70" s="142"/>
      <c r="L70" s="682">
        <v>1</v>
      </c>
      <c r="M70" s="725" t="s">
        <v>1035</v>
      </c>
      <c r="N70" s="687">
        <f t="shared" si="36"/>
        <v>5.0863702487495006E-2</v>
      </c>
      <c r="O70" s="725">
        <f t="shared" si="37"/>
        <v>0</v>
      </c>
      <c r="P70" s="729" t="s">
        <v>1182</v>
      </c>
      <c r="Q70" s="687"/>
      <c r="R70" s="726">
        <v>0.99</v>
      </c>
      <c r="S70" s="688">
        <f t="shared" si="38"/>
        <v>5.0863702487495056E-4</v>
      </c>
      <c r="T70" s="142"/>
      <c r="U70" s="727" t="str">
        <f t="shared" si="39"/>
        <v>Y</v>
      </c>
      <c r="V70" s="702" t="str">
        <f>P70</f>
        <v>SM05 SM06</v>
      </c>
      <c r="W70" s="687"/>
      <c r="X70" s="726">
        <v>0.8</v>
      </c>
      <c r="Y70" s="685">
        <f t="shared" si="40"/>
        <v>1.0071013092524009E-2</v>
      </c>
      <c r="Z70" s="141"/>
      <c r="AA70" s="517" t="s">
        <v>1191</v>
      </c>
      <c r="AB70" s="135"/>
    </row>
    <row r="71" spans="1:28">
      <c r="A71" s="135"/>
      <c r="B71" s="137"/>
      <c r="C71" s="137"/>
      <c r="D71" s="137"/>
      <c r="E71" s="137"/>
      <c r="F71" s="137"/>
      <c r="G71" s="518">
        <f>SUM(G23:G70)</f>
        <v>2.4414577193997591</v>
      </c>
      <c r="H71" s="137"/>
      <c r="I71" s="137"/>
      <c r="J71" s="137"/>
      <c r="K71" s="135"/>
      <c r="L71" s="137"/>
      <c r="M71" s="137"/>
      <c r="N71" s="518">
        <f>SUM(N23:N70)</f>
        <v>2.4414577193997591</v>
      </c>
      <c r="O71" s="137"/>
      <c r="P71" s="137"/>
      <c r="Q71" s="137"/>
      <c r="R71" s="137"/>
      <c r="S71" s="518">
        <f>SUM(S23:S70)</f>
        <v>1.5259110746248512E-2</v>
      </c>
      <c r="T71" s="135"/>
      <c r="U71" s="137"/>
      <c r="V71" s="137"/>
      <c r="W71" s="137"/>
      <c r="X71" s="137"/>
      <c r="Y71" s="518">
        <f>SUM(Y23:Y70)</f>
        <v>0.18127823566543214</v>
      </c>
      <c r="Z71" s="135"/>
      <c r="AA71" s="135"/>
      <c r="AB71" s="135"/>
    </row>
    <row r="72" spans="1:28">
      <c r="A72" s="135"/>
      <c r="B72" s="135"/>
      <c r="C72" s="135"/>
      <c r="D72" s="135"/>
      <c r="E72" s="135"/>
      <c r="F72" s="135"/>
      <c r="G72" s="135"/>
      <c r="H72" s="135"/>
      <c r="I72" s="135"/>
      <c r="J72" s="135"/>
      <c r="K72" s="135"/>
      <c r="L72" s="135"/>
      <c r="M72" s="135"/>
      <c r="N72" s="135"/>
      <c r="O72" s="135"/>
      <c r="P72" s="135"/>
      <c r="Q72" s="135"/>
      <c r="R72" s="135"/>
      <c r="S72" s="135"/>
      <c r="T72" s="135"/>
      <c r="U72" s="135"/>
      <c r="V72" s="135"/>
      <c r="W72" s="135"/>
      <c r="X72" s="135"/>
      <c r="Y72" s="135"/>
      <c r="Z72" s="135"/>
      <c r="AA72" s="135"/>
      <c r="AB72" s="135"/>
    </row>
  </sheetData>
  <mergeCells count="19">
    <mergeCell ref="AA37:AA39"/>
    <mergeCell ref="V7:W7"/>
    <mergeCell ref="X7:AA7"/>
    <mergeCell ref="A9:AB9"/>
    <mergeCell ref="A11:AB11"/>
    <mergeCell ref="B16:D16"/>
    <mergeCell ref="B17:D17"/>
    <mergeCell ref="AA21:AA22"/>
    <mergeCell ref="L19:Y19"/>
    <mergeCell ref="C20:D20"/>
    <mergeCell ref="E20:F20"/>
    <mergeCell ref="L20:S20"/>
    <mergeCell ref="U20:Y20"/>
    <mergeCell ref="V4:W4"/>
    <mergeCell ref="X4:AA4"/>
    <mergeCell ref="V5:W5"/>
    <mergeCell ref="X5:Z5"/>
    <mergeCell ref="V6:W6"/>
    <mergeCell ref="X6:AA6"/>
  </mergeCells>
  <phoneticPr fontId="3" type="noConversion"/>
  <pageMargins left="0.70866141732283472" right="0.70866141732283472" top="0.74803149606299213" bottom="0.74803149606299213" header="0.31496062992125984" footer="0.31496062992125984"/>
  <pageSetup paperSize="9" scale="18" orientation="portrait" horizontalDpi="1200" verticalDpi="1200" r:id="rId1"/>
  <headerFooter>
    <oddHeader>&amp;C&amp;G</oddHeader>
    <oddFooter>&amp;C&amp;1#&amp;"맑은 고딕"&amp;6&amp;K737373관 윤 / 1628679@mobis.co.kr / 본 문서는 현대모비스의 대외비 정보자산이므로 무단 전재 및 복제할 수 없으며, 위반 시 당사 사규 및 관련 법규에 의해 제재될 수 있습니다.</oddFooter>
  </headerFooter>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00B050"/>
  </sheetPr>
  <dimension ref="A1:R33"/>
  <sheetViews>
    <sheetView tabSelected="1" topLeftCell="A8" zoomScale="130" zoomScaleNormal="130" zoomScaleSheetLayoutView="85" workbookViewId="0">
      <selection activeCell="I20" sqref="I20"/>
    </sheetView>
  </sheetViews>
  <sheetFormatPr defaultColWidth="9" defaultRowHeight="15"/>
  <cols>
    <col min="1" max="1" width="6.7109375" style="32" customWidth="1"/>
    <col min="2" max="2" width="9" style="32"/>
    <col min="3" max="3" width="18" style="32" customWidth="1"/>
    <col min="4" max="4" width="14.28515625" style="32" bestFit="1" customWidth="1"/>
    <col min="5" max="5" width="10.42578125" style="32" customWidth="1"/>
    <col min="6" max="6" width="10.7109375" style="32" customWidth="1"/>
    <col min="7" max="8" width="13.28515625" style="32" customWidth="1"/>
    <col min="9" max="9" width="32.7109375" style="32" customWidth="1"/>
    <col min="10" max="11" width="10.28515625" style="32" customWidth="1"/>
    <col min="12" max="12" width="9.28515625" style="32" customWidth="1"/>
    <col min="13" max="13" width="18.140625" style="32" customWidth="1"/>
    <col min="14" max="14" width="21.7109375" style="32" customWidth="1"/>
    <col min="15" max="15" width="3.7109375" style="32" customWidth="1"/>
    <col min="16" max="16384" width="9" style="32"/>
  </cols>
  <sheetData>
    <row r="1" spans="1:16">
      <c r="A1" s="74"/>
      <c r="B1" s="38"/>
      <c r="C1" s="38"/>
      <c r="D1" s="38"/>
      <c r="E1" s="38"/>
      <c r="F1" s="38"/>
      <c r="G1" s="38"/>
      <c r="H1" s="38"/>
      <c r="I1" s="38"/>
      <c r="J1" s="38"/>
      <c r="K1" s="43"/>
      <c r="L1" s="43"/>
      <c r="M1" s="43"/>
      <c r="N1" s="43"/>
      <c r="O1" s="38"/>
    </row>
    <row r="2" spans="1:16" ht="16.5" customHeight="1">
      <c r="A2" s="74"/>
      <c r="B2" s="38"/>
      <c r="C2" s="38"/>
      <c r="D2" s="38"/>
      <c r="E2" s="38"/>
      <c r="F2" s="38"/>
      <c r="G2" s="38"/>
      <c r="H2" s="38"/>
      <c r="I2" s="38"/>
      <c r="J2" s="41"/>
      <c r="K2" s="814" t="s">
        <v>501</v>
      </c>
      <c r="L2" s="815"/>
      <c r="M2" s="979" t="str">
        <f>Cover!$F$18</f>
        <v>ELM-803-FS-0001</v>
      </c>
      <c r="N2" s="980"/>
      <c r="O2" s="38"/>
    </row>
    <row r="3" spans="1:16" ht="16.5" customHeight="1">
      <c r="A3" s="74"/>
      <c r="B3" s="38"/>
      <c r="C3" s="38"/>
      <c r="D3" s="38"/>
      <c r="E3" s="38"/>
      <c r="F3" s="38"/>
      <c r="G3" s="38"/>
      <c r="H3" s="38"/>
      <c r="I3" s="38"/>
      <c r="J3" s="41"/>
      <c r="K3" s="818" t="s">
        <v>7</v>
      </c>
      <c r="L3" s="819"/>
      <c r="M3" s="15" t="str">
        <f>Cover!$F$19</f>
        <v>Safety Manager</v>
      </c>
      <c r="N3" s="40" t="str">
        <f>Cover!$G$19</f>
        <v>I. Kök</v>
      </c>
      <c r="O3" s="38"/>
    </row>
    <row r="4" spans="1:16" ht="16.5" customHeight="1">
      <c r="A4" s="74"/>
      <c r="B4" s="38"/>
      <c r="C4" s="38"/>
      <c r="D4" s="38"/>
      <c r="E4" s="38"/>
      <c r="F4" s="38"/>
      <c r="G4" s="38"/>
      <c r="H4" s="38"/>
      <c r="I4" s="38"/>
      <c r="J4" s="41"/>
      <c r="K4" s="818" t="s">
        <v>8</v>
      </c>
      <c r="L4" s="819"/>
      <c r="M4" s="825" t="str">
        <f>Cover!$F$20</f>
        <v>B2</v>
      </c>
      <c r="N4" s="826"/>
      <c r="O4" s="38"/>
    </row>
    <row r="5" spans="1:16" ht="16.5" customHeight="1">
      <c r="A5" s="74"/>
      <c r="B5" s="38"/>
      <c r="C5" s="38"/>
      <c r="D5" s="38"/>
      <c r="E5" s="38"/>
      <c r="F5" s="38"/>
      <c r="G5" s="38"/>
      <c r="H5" s="38"/>
      <c r="I5" s="38"/>
      <c r="J5" s="41"/>
      <c r="K5" s="805" t="s">
        <v>502</v>
      </c>
      <c r="L5" s="806"/>
      <c r="M5" s="981" t="str">
        <f>Cover!$F$21</f>
        <v>approved after review</v>
      </c>
      <c r="N5" s="982"/>
      <c r="O5" s="38"/>
    </row>
    <row r="6" spans="1:16" ht="36">
      <c r="B6" s="987" t="str">
        <f>Cover!A7</f>
        <v>FMEDA</v>
      </c>
      <c r="C6" s="988"/>
      <c r="D6" s="988"/>
      <c r="E6" s="988"/>
      <c r="F6" s="988"/>
      <c r="G6" s="988"/>
      <c r="H6" s="988"/>
      <c r="I6" s="988"/>
      <c r="J6" s="988"/>
      <c r="K6" s="988"/>
      <c r="L6" s="988"/>
      <c r="M6" s="988"/>
      <c r="N6" s="988"/>
      <c r="O6" s="989"/>
    </row>
    <row r="7" spans="1:16">
      <c r="A7" s="75"/>
      <c r="B7" s="43"/>
      <c r="C7" s="43"/>
      <c r="D7" s="43"/>
      <c r="E7" s="43"/>
      <c r="F7" s="43"/>
      <c r="G7" s="43"/>
      <c r="H7" s="43"/>
      <c r="I7" s="43"/>
      <c r="J7" s="43"/>
      <c r="K7" s="43"/>
      <c r="L7" s="43"/>
      <c r="M7" s="43"/>
      <c r="N7" s="43"/>
      <c r="O7" s="43"/>
    </row>
    <row r="8" spans="1:16" ht="26.25">
      <c r="A8" s="841" t="str">
        <f>Cover!A9</f>
        <v>ID803 - Vega</v>
      </c>
      <c r="B8" s="842"/>
      <c r="C8" s="842"/>
      <c r="D8" s="842"/>
      <c r="E8" s="842"/>
      <c r="F8" s="842"/>
      <c r="G8" s="842"/>
      <c r="H8" s="842"/>
      <c r="I8" s="842"/>
      <c r="J8" s="842"/>
      <c r="K8" s="842"/>
      <c r="L8" s="842"/>
      <c r="M8" s="842"/>
      <c r="N8" s="842"/>
      <c r="O8" s="983"/>
      <c r="P8" s="76"/>
    </row>
    <row r="9" spans="1:16">
      <c r="A9" s="77"/>
      <c r="B9" s="78"/>
      <c r="C9" s="78"/>
      <c r="D9" s="78"/>
      <c r="E9" s="78"/>
      <c r="F9" s="78"/>
      <c r="G9" s="78"/>
      <c r="H9" s="78"/>
      <c r="I9" s="78"/>
      <c r="J9" s="78"/>
      <c r="K9" s="78"/>
      <c r="L9" s="78"/>
      <c r="M9" s="78"/>
      <c r="N9" s="78"/>
      <c r="O9" s="62"/>
    </row>
    <row r="10" spans="1:16" ht="21" customHeight="1">
      <c r="A10" s="79"/>
      <c r="B10" s="984" t="s">
        <v>819</v>
      </c>
      <c r="C10" s="985"/>
      <c r="D10" s="985"/>
      <c r="E10" s="985"/>
      <c r="F10" s="985"/>
      <c r="G10" s="985"/>
      <c r="H10" s="985"/>
      <c r="I10" s="985"/>
      <c r="J10" s="985"/>
      <c r="K10" s="985"/>
      <c r="L10" s="985"/>
      <c r="M10" s="985"/>
      <c r="N10" s="986"/>
      <c r="O10" s="74"/>
    </row>
    <row r="11" spans="1:16" ht="16.5" customHeight="1">
      <c r="A11" s="80"/>
      <c r="B11" s="990" t="s">
        <v>44</v>
      </c>
      <c r="C11" s="991"/>
      <c r="D11" s="81" t="s">
        <v>887</v>
      </c>
      <c r="E11" s="968" t="s">
        <v>595</v>
      </c>
      <c r="F11" s="969"/>
      <c r="G11" s="969"/>
      <c r="H11" s="969"/>
      <c r="I11" s="969"/>
      <c r="J11" s="969"/>
      <c r="K11" s="969"/>
      <c r="L11" s="970" t="s">
        <v>594</v>
      </c>
      <c r="M11" s="971"/>
      <c r="N11" s="972"/>
      <c r="O11" s="74"/>
    </row>
    <row r="12" spans="1:16" ht="16.5" customHeight="1">
      <c r="A12" s="80"/>
      <c r="B12" s="992"/>
      <c r="C12" s="993"/>
      <c r="D12" s="81" t="s">
        <v>598</v>
      </c>
      <c r="E12" s="968" t="s">
        <v>596</v>
      </c>
      <c r="F12" s="969"/>
      <c r="G12" s="969"/>
      <c r="H12" s="969"/>
      <c r="I12" s="969"/>
      <c r="J12" s="969"/>
      <c r="K12" s="969"/>
      <c r="L12" s="973"/>
      <c r="M12" s="974"/>
      <c r="N12" s="975"/>
      <c r="O12" s="74"/>
    </row>
    <row r="13" spans="1:16" ht="16.5" customHeight="1">
      <c r="A13" s="80"/>
      <c r="B13" s="994"/>
      <c r="C13" s="995"/>
      <c r="D13" s="81" t="s">
        <v>599</v>
      </c>
      <c r="E13" s="968" t="s">
        <v>597</v>
      </c>
      <c r="F13" s="969"/>
      <c r="G13" s="969"/>
      <c r="H13" s="969"/>
      <c r="I13" s="969"/>
      <c r="J13" s="969"/>
      <c r="K13" s="969"/>
      <c r="L13" s="976"/>
      <c r="M13" s="977"/>
      <c r="N13" s="978"/>
      <c r="O13" s="74"/>
    </row>
    <row r="14" spans="1:16" ht="18.75">
      <c r="A14" s="80"/>
      <c r="B14" s="996" t="s">
        <v>45</v>
      </c>
      <c r="C14" s="997"/>
      <c r="D14" s="1000" t="s">
        <v>886</v>
      </c>
      <c r="E14" s="1001"/>
      <c r="F14" s="1002"/>
      <c r="G14" s="82" t="s">
        <v>46</v>
      </c>
      <c r="H14" s="82" t="s">
        <v>47</v>
      </c>
      <c r="I14" s="82" t="s">
        <v>48</v>
      </c>
      <c r="J14" s="83"/>
      <c r="K14" s="83"/>
      <c r="L14" s="83"/>
      <c r="M14" s="83"/>
      <c r="N14" s="84"/>
      <c r="O14" s="74"/>
    </row>
    <row r="15" spans="1:16">
      <c r="A15" s="80"/>
      <c r="B15" s="996" t="s">
        <v>49</v>
      </c>
      <c r="C15" s="997"/>
      <c r="D15" s="997"/>
      <c r="E15" s="997"/>
      <c r="F15" s="997"/>
      <c r="G15" s="85" t="str">
        <f>IF(D14="D", "99.0%", IF(D14="C","97.0%", IF(D14="B", "90.0%", IF(D14="A", "N/A", IF(D14="QM", "N/A", "Invalid ASIL")))))</f>
        <v>90.0%</v>
      </c>
      <c r="H15" s="85" t="str">
        <f>IF(D14="D", "90.0%", IF(D14="C","80.0%", IF(D14="B", "60.0%", IF(D14="A", "N/A", IF(D14="QM", "N/A", "Invalid ASIL")))))</f>
        <v>60.0%</v>
      </c>
      <c r="I15" s="86">
        <v>30</v>
      </c>
      <c r="J15" s="38"/>
      <c r="K15" s="38"/>
      <c r="L15" s="38"/>
      <c r="M15" s="38"/>
      <c r="N15" s="87"/>
      <c r="O15" s="74"/>
    </row>
    <row r="16" spans="1:16">
      <c r="A16" s="80"/>
      <c r="B16" s="996" t="s">
        <v>50</v>
      </c>
      <c r="C16" s="997"/>
      <c r="D16" s="997"/>
      <c r="E16" s="997"/>
      <c r="F16" s="997"/>
      <c r="G16" s="85" t="str">
        <f>IF(D14="D", "99.0%", IF(D14="C","97.0%", IF(D14="B", "90.0%", IF(D14="A", "N/A", IF(D14="QM", "N/A", "Invalid ASIL")))))</f>
        <v>90.0%</v>
      </c>
      <c r="H16" s="85" t="str">
        <f>IF(D14="D", "90.0%", IF(D14="C","80.0%", IF(D14="B", "60.0%", IF(D14="A", "N/A", IF(D14="QM", "N/A", "Invalid ASIL")))))</f>
        <v>60.0%</v>
      </c>
      <c r="I16" s="86">
        <v>100</v>
      </c>
      <c r="J16" s="88"/>
      <c r="K16" s="88"/>
      <c r="L16" s="88"/>
      <c r="M16" s="88"/>
      <c r="N16" s="89"/>
      <c r="O16" s="74"/>
    </row>
    <row r="17" spans="1:18">
      <c r="A17" s="80"/>
      <c r="B17" s="90"/>
      <c r="C17" s="91"/>
      <c r="D17" s="91"/>
      <c r="E17" s="91"/>
      <c r="F17" s="91"/>
      <c r="G17" s="91"/>
      <c r="H17" s="91"/>
      <c r="I17" s="91"/>
      <c r="J17" s="91"/>
      <c r="K17" s="91"/>
      <c r="L17" s="91"/>
      <c r="M17" s="92"/>
      <c r="N17" s="93" t="s">
        <v>51</v>
      </c>
      <c r="O17" s="74"/>
    </row>
    <row r="18" spans="1:18">
      <c r="A18" s="80"/>
      <c r="B18" s="90"/>
      <c r="C18" s="91"/>
      <c r="D18" s="91"/>
      <c r="E18" s="91"/>
      <c r="F18" s="91"/>
      <c r="G18" s="91"/>
      <c r="H18" s="91"/>
      <c r="I18" s="92"/>
      <c r="J18" s="90"/>
      <c r="K18" s="91"/>
      <c r="L18" s="91"/>
      <c r="M18" s="92"/>
      <c r="N18" s="93" t="s">
        <v>52</v>
      </c>
      <c r="O18" s="74"/>
    </row>
    <row r="19" spans="1:18" ht="45" customHeight="1">
      <c r="A19" s="80"/>
      <c r="B19" s="996"/>
      <c r="C19" s="997"/>
      <c r="D19" s="94" t="s">
        <v>53</v>
      </c>
      <c r="E19" s="95" t="s">
        <v>54</v>
      </c>
      <c r="F19" s="95" t="s">
        <v>55</v>
      </c>
      <c r="G19" s="95" t="s">
        <v>56</v>
      </c>
      <c r="H19" s="95" t="s">
        <v>57</v>
      </c>
      <c r="I19" s="95" t="s">
        <v>58</v>
      </c>
      <c r="J19" s="96" t="s">
        <v>609</v>
      </c>
      <c r="K19" s="96" t="s">
        <v>610</v>
      </c>
      <c r="L19" s="965" t="s">
        <v>647</v>
      </c>
      <c r="M19" s="966"/>
      <c r="N19" s="967"/>
      <c r="O19" s="74"/>
    </row>
    <row r="20" spans="1:18">
      <c r="A20" s="80"/>
      <c r="B20" s="996" t="s">
        <v>648</v>
      </c>
      <c r="C20" s="997"/>
      <c r="D20" s="97">
        <f>FMEDA!K14</f>
        <v>6.3327874313904085</v>
      </c>
      <c r="E20" s="97">
        <f>FMEDA!K15</f>
        <v>0.10455335678739651</v>
      </c>
      <c r="F20" s="97">
        <f>FMEDA!K16</f>
        <v>0.74109836054277189</v>
      </c>
      <c r="G20" s="98">
        <f>1-(E20/D20)</f>
        <v>0.98349015217704205</v>
      </c>
      <c r="H20" s="98">
        <f>1-(F20/(D20-E20))</f>
        <v>0.88100987347846116</v>
      </c>
      <c r="I20" s="99">
        <f>E20+0.5*(D20*G20)*F20*'Die_PKG Base Failure rate'!$F$98*0.000000001</f>
        <v>0.10457181972364357</v>
      </c>
      <c r="J20" s="100" t="str">
        <f t="shared" ref="J20:J23" si="0">IF(G20&gt;=90%,"pass","fail")</f>
        <v>pass</v>
      </c>
      <c r="K20" s="101" t="str">
        <f t="shared" ref="K20:K23" si="1">IF(H20&gt;=60%,"pass","fail")</f>
        <v>pass</v>
      </c>
      <c r="L20" s="962"/>
      <c r="M20" s="963"/>
      <c r="N20" s="964"/>
      <c r="O20" s="74"/>
    </row>
    <row r="21" spans="1:18">
      <c r="A21" s="80"/>
      <c r="B21" s="996" t="s">
        <v>59</v>
      </c>
      <c r="C21" s="997"/>
      <c r="D21" s="97">
        <f>'PAD(PSP))'!H14</f>
        <v>2.4414577193997591</v>
      </c>
      <c r="E21" s="97">
        <f>'PAD(PSP))'!H15</f>
        <v>6.6631450258618441E-2</v>
      </c>
      <c r="F21" s="102">
        <f>'PAD(PSP))'!H16</f>
        <v>0.25238569174295017</v>
      </c>
      <c r="G21" s="98">
        <f>1-(E21/D21)</f>
        <v>0.97270833333333329</v>
      </c>
      <c r="H21" s="98">
        <f>1-(F21/(D21-E21))</f>
        <v>0.89372456628828445</v>
      </c>
      <c r="I21" s="99">
        <f>E21+0.5*(D21*G21)*F21*0.000000001*'Die_PKG Base Failure rate'!$F$98</f>
        <v>6.6633847747301272E-2</v>
      </c>
      <c r="J21" s="100" t="str">
        <f t="shared" si="0"/>
        <v>pass</v>
      </c>
      <c r="K21" s="101" t="str">
        <f t="shared" si="1"/>
        <v>pass</v>
      </c>
      <c r="L21" s="962"/>
      <c r="M21" s="963"/>
      <c r="N21" s="964"/>
      <c r="O21" s="74"/>
    </row>
    <row r="22" spans="1:18">
      <c r="A22" s="80"/>
      <c r="B22" s="996" t="s">
        <v>60</v>
      </c>
      <c r="C22" s="997"/>
      <c r="D22" s="97">
        <f>'PAD(PSG))'!H14</f>
        <v>2.4414577193997591</v>
      </c>
      <c r="E22" s="97">
        <f>'PAD(PSG))'!H15</f>
        <v>6.6122813233743499E-2</v>
      </c>
      <c r="F22" s="102">
        <f>'PAD(PSG))'!H16</f>
        <v>0.25238569174295017</v>
      </c>
      <c r="G22" s="98">
        <f t="shared" ref="G22:G25" si="2">1-(E22/D22)</f>
        <v>0.97291666666666665</v>
      </c>
      <c r="H22" s="98">
        <f t="shared" ref="H22:H25" si="3">1-(F22/(D22-E22))</f>
        <v>0.89374732334047102</v>
      </c>
      <c r="I22" s="99">
        <f>E22+0.5*(D22*G22)*F22*0.000000001*'Die_PKG Base Failure rate'!$F$98</f>
        <v>6.612521123591715E-2</v>
      </c>
      <c r="J22" s="100" t="str">
        <f t="shared" si="0"/>
        <v>pass</v>
      </c>
      <c r="K22" s="101" t="str">
        <f t="shared" si="1"/>
        <v>pass</v>
      </c>
      <c r="L22" s="962"/>
      <c r="M22" s="963"/>
      <c r="N22" s="964"/>
      <c r="O22" s="74"/>
      <c r="R22"/>
    </row>
    <row r="23" spans="1:18">
      <c r="A23" s="80"/>
      <c r="B23" s="996" t="s">
        <v>649</v>
      </c>
      <c r="C23" s="997"/>
      <c r="D23" s="97">
        <f>'Bonding(OPEN) '!I15</f>
        <v>65.919358423793568</v>
      </c>
      <c r="E23" s="97">
        <f>'Bonding(OPEN) '!I16</f>
        <v>1.799049156982699</v>
      </c>
      <c r="F23" s="102">
        <f>'Bonding(OPEN) '!I17</f>
        <v>7.0863310305578029</v>
      </c>
      <c r="G23" s="98">
        <f t="shared" si="2"/>
        <v>0.97270833333333329</v>
      </c>
      <c r="H23" s="98">
        <f t="shared" si="3"/>
        <v>0.88948382951381455</v>
      </c>
      <c r="I23" s="99">
        <f>E23+0.5*(D23*G23)*F23*0.000000001*'Die_PKG Base Failure rate'!$F$98</f>
        <v>1.8008666679316845</v>
      </c>
      <c r="J23" s="100" t="str">
        <f t="shared" si="0"/>
        <v>pass</v>
      </c>
      <c r="K23" s="101" t="str">
        <f t="shared" si="1"/>
        <v>pass</v>
      </c>
      <c r="L23" s="962"/>
      <c r="M23" s="963"/>
      <c r="N23" s="964"/>
      <c r="O23" s="74"/>
    </row>
    <row r="24" spans="1:18">
      <c r="A24" s="80"/>
      <c r="B24" s="996" t="s">
        <v>650</v>
      </c>
      <c r="C24" s="997"/>
      <c r="D24" s="97">
        <f>'PIN(Near short)'!I15</f>
        <v>2.4414577193997591</v>
      </c>
      <c r="E24" s="97">
        <f>'PIN(Near short)'!I16</f>
        <v>1.5259110746248512E-2</v>
      </c>
      <c r="F24" s="102">
        <f>'PIN(Near short)'!I17</f>
        <v>0.18127823566543214</v>
      </c>
      <c r="G24" s="98">
        <f t="shared" si="2"/>
        <v>0.99375000000000002</v>
      </c>
      <c r="H24" s="98">
        <f t="shared" si="3"/>
        <v>0.92528301886792452</v>
      </c>
      <c r="I24" s="99">
        <f>E24+0.5*(D24*G24)*F24*0.000000001*'Die_PKG Base Failure rate'!$F$98</f>
        <v>1.5260870014261114E-2</v>
      </c>
      <c r="J24" s="100" t="str">
        <f>IF(G24&gt;=90%,"pass","fail")</f>
        <v>pass</v>
      </c>
      <c r="K24" s="101" t="str">
        <f>IF(H24&gt;=60%,"pass","fail")</f>
        <v>pass</v>
      </c>
      <c r="L24" s="962"/>
      <c r="M24" s="963"/>
      <c r="N24" s="964"/>
      <c r="O24" s="74"/>
    </row>
    <row r="25" spans="1:18">
      <c r="A25" s="80"/>
      <c r="B25" s="103" t="s">
        <v>572</v>
      </c>
      <c r="C25" s="104"/>
      <c r="D25" s="86">
        <f>SUM(D20:D24)</f>
        <v>79.576519013383262</v>
      </c>
      <c r="E25" s="86">
        <f>SUM(E20:E24)</f>
        <v>2.0516158880087061</v>
      </c>
      <c r="F25" s="86">
        <f>SUM(F20:F24)</f>
        <v>8.513479010251908</v>
      </c>
      <c r="G25" s="98">
        <f t="shared" si="2"/>
        <v>0.97421832578949996</v>
      </c>
      <c r="H25" s="98">
        <f t="shared" si="3"/>
        <v>0.89018394519650323</v>
      </c>
      <c r="I25" s="105">
        <f>E25+0.5*(D25*G25)*F25*0.000000001*'Die_PKG Base Failure rate'!$F$98</f>
        <v>2.0542559145508248</v>
      </c>
      <c r="J25" s="100" t="str">
        <f>IF(G25&gt;=90%,"pass","fail")</f>
        <v>pass</v>
      </c>
      <c r="K25" s="101" t="str">
        <f>IF(H25&gt;=60%,"pass","fail")</f>
        <v>pass</v>
      </c>
      <c r="L25" s="962"/>
      <c r="M25" s="963"/>
      <c r="N25" s="964"/>
      <c r="O25" s="74"/>
    </row>
    <row r="26" spans="1:18">
      <c r="A26" s="80"/>
      <c r="B26" s="106"/>
      <c r="C26" s="91"/>
      <c r="D26" s="91"/>
      <c r="E26" s="107"/>
      <c r="F26" s="91"/>
      <c r="G26" s="91"/>
      <c r="H26" s="91"/>
      <c r="I26" s="91"/>
      <c r="J26" s="91"/>
      <c r="K26" s="91"/>
      <c r="L26" s="91"/>
      <c r="M26" s="91"/>
      <c r="N26" s="92"/>
      <c r="O26" s="74"/>
    </row>
    <row r="27" spans="1:18">
      <c r="A27" s="80"/>
      <c r="B27" s="998" t="s">
        <v>61</v>
      </c>
      <c r="C27" s="999"/>
      <c r="D27" s="90"/>
      <c r="E27" s="91"/>
      <c r="F27" s="92"/>
      <c r="G27" s="108"/>
      <c r="H27" s="83"/>
      <c r="I27" s="83"/>
      <c r="J27" s="83"/>
      <c r="K27" s="83"/>
      <c r="L27" s="83"/>
      <c r="M27" s="83"/>
      <c r="N27" s="84"/>
      <c r="O27" s="74"/>
    </row>
    <row r="28" spans="1:18">
      <c r="A28" s="80"/>
      <c r="B28" s="109"/>
      <c r="C28" s="1003"/>
      <c r="D28" s="1003"/>
      <c r="E28" s="94" t="s">
        <v>62</v>
      </c>
      <c r="F28" s="94" t="s">
        <v>63</v>
      </c>
      <c r="G28" s="110"/>
      <c r="H28" s="38"/>
      <c r="I28" s="38"/>
      <c r="J28" s="38"/>
      <c r="K28" s="38"/>
      <c r="L28" s="38"/>
      <c r="M28" s="38"/>
      <c r="N28" s="87"/>
      <c r="O28" s="74"/>
    </row>
    <row r="29" spans="1:18" ht="30.6" customHeight="1">
      <c r="A29" s="80"/>
      <c r="B29" s="1004" t="s">
        <v>607</v>
      </c>
      <c r="C29" s="1005"/>
      <c r="D29" s="1005"/>
      <c r="E29" s="1006" t="s">
        <v>510</v>
      </c>
      <c r="F29" s="1006"/>
      <c r="G29" s="111"/>
      <c r="H29" s="111"/>
      <c r="I29" s="111"/>
      <c r="J29" s="111"/>
      <c r="K29" s="111"/>
      <c r="L29" s="111"/>
      <c r="M29" s="111"/>
      <c r="N29" s="112"/>
      <c r="O29" s="74"/>
    </row>
    <row r="30" spans="1:18" ht="32.1" customHeight="1">
      <c r="A30" s="80"/>
      <c r="B30" s="1004" t="s">
        <v>608</v>
      </c>
      <c r="C30" s="1005"/>
      <c r="D30" s="1005"/>
      <c r="E30" s="1006" t="s">
        <v>651</v>
      </c>
      <c r="F30" s="1006"/>
      <c r="G30" s="111"/>
      <c r="H30" s="111"/>
      <c r="I30" s="111"/>
      <c r="J30" s="111"/>
      <c r="K30" s="111"/>
      <c r="L30" s="111"/>
      <c r="M30" s="111"/>
      <c r="N30" s="112"/>
      <c r="O30" s="74"/>
    </row>
    <row r="31" spans="1:18">
      <c r="A31" s="80"/>
      <c r="B31" s="106"/>
      <c r="C31" s="91"/>
      <c r="D31" s="91"/>
      <c r="E31" s="91"/>
      <c r="F31" s="91"/>
      <c r="G31" s="91"/>
      <c r="H31" s="91"/>
      <c r="I31" s="91"/>
      <c r="J31" s="91"/>
      <c r="K31" s="91"/>
      <c r="L31" s="91"/>
      <c r="M31" s="91"/>
      <c r="N31" s="92"/>
      <c r="O31" s="74"/>
    </row>
    <row r="32" spans="1:18">
      <c r="A32" s="80"/>
      <c r="B32" s="113"/>
      <c r="C32" s="114"/>
      <c r="D32" s="114"/>
      <c r="E32" s="114"/>
      <c r="F32" s="114"/>
      <c r="G32" s="114"/>
      <c r="H32" s="114"/>
      <c r="I32" s="114"/>
      <c r="J32" s="114"/>
      <c r="K32" s="114"/>
      <c r="L32" s="115"/>
      <c r="M32" s="115"/>
      <c r="N32" s="116"/>
      <c r="O32" s="117"/>
    </row>
    <row r="33" spans="1:15">
      <c r="A33" s="61"/>
      <c r="B33" s="118"/>
      <c r="C33" s="118"/>
      <c r="D33" s="118"/>
      <c r="E33" s="118"/>
      <c r="F33" s="118"/>
      <c r="G33" s="118"/>
      <c r="H33" s="118"/>
      <c r="I33" s="118"/>
      <c r="J33" s="118"/>
      <c r="K33" s="118"/>
      <c r="L33" s="118"/>
      <c r="M33" s="118"/>
      <c r="N33" s="118"/>
      <c r="O33" s="119"/>
    </row>
  </sheetData>
  <mergeCells count="38">
    <mergeCell ref="C28:D28"/>
    <mergeCell ref="B29:D29"/>
    <mergeCell ref="B30:D30"/>
    <mergeCell ref="E29:F29"/>
    <mergeCell ref="E30:F30"/>
    <mergeCell ref="B24:C24"/>
    <mergeCell ref="B27:C27"/>
    <mergeCell ref="B23:C23"/>
    <mergeCell ref="B14:C14"/>
    <mergeCell ref="D14:F14"/>
    <mergeCell ref="B15:F15"/>
    <mergeCell ref="B16:F16"/>
    <mergeCell ref="B19:C19"/>
    <mergeCell ref="B21:C21"/>
    <mergeCell ref="B22:C22"/>
    <mergeCell ref="B20:C20"/>
    <mergeCell ref="E12:K12"/>
    <mergeCell ref="E13:K13"/>
    <mergeCell ref="L11:N13"/>
    <mergeCell ref="M2:N2"/>
    <mergeCell ref="M4:N4"/>
    <mergeCell ref="M5:N5"/>
    <mergeCell ref="K2:L2"/>
    <mergeCell ref="K3:L3"/>
    <mergeCell ref="K4:L4"/>
    <mergeCell ref="K5:L5"/>
    <mergeCell ref="A8:O8"/>
    <mergeCell ref="B10:N10"/>
    <mergeCell ref="B6:O6"/>
    <mergeCell ref="B11:C13"/>
    <mergeCell ref="E11:K11"/>
    <mergeCell ref="L23:N23"/>
    <mergeCell ref="L24:N24"/>
    <mergeCell ref="L25:N25"/>
    <mergeCell ref="L19:N19"/>
    <mergeCell ref="L20:N20"/>
    <mergeCell ref="L21:N21"/>
    <mergeCell ref="L22:N22"/>
  </mergeCells>
  <phoneticPr fontId="3" type="noConversion"/>
  <conditionalFormatting sqref="G20:H24 G25">
    <cfRule type="expression" dxfId="7" priority="13">
      <formula>G20&lt;G$15</formula>
    </cfRule>
    <cfRule type="expression" dxfId="6" priority="14">
      <formula>G20&gt;=G$15</formula>
    </cfRule>
  </conditionalFormatting>
  <conditionalFormatting sqref="H25">
    <cfRule type="expression" dxfId="5" priority="11">
      <formula>$H$25&lt;$H$15</formula>
    </cfRule>
    <cfRule type="expression" dxfId="4" priority="12">
      <formula>$H$25&gt;=$H$15</formula>
    </cfRule>
  </conditionalFormatting>
  <conditionalFormatting sqref="I25">
    <cfRule type="expression" dxfId="3" priority="1">
      <formula>$I$25&gt;$I$15</formula>
    </cfRule>
    <cfRule type="expression" dxfId="2" priority="2">
      <formula>$I$25&lt;=$I$15</formula>
    </cfRule>
  </conditionalFormatting>
  <conditionalFormatting sqref="R22">
    <cfRule type="expression" dxfId="1" priority="3">
      <formula>$I$25&gt;$I$15</formula>
    </cfRule>
    <cfRule type="expression" dxfId="0" priority="4">
      <formula>$I$25&lt;=$I$15</formula>
    </cfRule>
  </conditionalFormatting>
  <pageMargins left="0.7" right="0.7" top="0.75" bottom="0.75" header="0.3" footer="0.3"/>
  <pageSetup paperSize="9" scale="43" orientation="portrait" r:id="rId1"/>
  <headerFooter>
    <oddHeader>&amp;C&amp;G</oddHeader>
    <oddFooter>&amp;C&amp;1#&amp;"맑은 고딕"&amp;6&amp;K737373관 윤 / 1628679@mobis.co.kr / 본 문서는 현대모비스의 대외비 정보자산이므로 무단 전재 및 복제할 수 없으며, 위반 시 당사 사규 및 관련 법규에 의해 제재될 수 있습니다.</oddFooter>
  </headerFooter>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Y60"/>
  <sheetViews>
    <sheetView view="pageBreakPreview" zoomScale="90" zoomScaleNormal="100" zoomScaleSheetLayoutView="90" workbookViewId="0">
      <selection activeCell="A8" sqref="A8:P8"/>
    </sheetView>
  </sheetViews>
  <sheetFormatPr defaultColWidth="8.7109375" defaultRowHeight="15"/>
  <cols>
    <col min="1" max="1" width="5.7109375" style="39" customWidth="1"/>
    <col min="2" max="2" width="9.28515625" style="39" customWidth="1"/>
    <col min="3" max="3" width="12.28515625" style="72" customWidth="1"/>
    <col min="4" max="4" width="12.42578125" style="73" customWidth="1"/>
    <col min="5" max="5" width="9" style="39" customWidth="1"/>
    <col min="6" max="7" width="9" style="39"/>
    <col min="8" max="8" width="7.140625" style="39" customWidth="1"/>
    <col min="9" max="9" width="4.140625" style="39" customWidth="1"/>
    <col min="10" max="10" width="5.42578125" style="39" customWidth="1"/>
    <col min="11" max="11" width="6" style="39" customWidth="1"/>
    <col min="12" max="13" width="22.28515625" style="72" customWidth="1"/>
    <col min="14" max="15" width="27" style="72" customWidth="1"/>
    <col min="16" max="16" width="5.7109375" style="39" customWidth="1"/>
    <col min="17" max="258" width="9" style="39"/>
    <col min="259" max="259" width="9.28515625" style="39" customWidth="1"/>
    <col min="260" max="260" width="12.28515625" style="39" customWidth="1"/>
    <col min="261" max="261" width="11.28515625" style="39" customWidth="1"/>
    <col min="262" max="262" width="9" style="39" customWidth="1"/>
    <col min="263" max="264" width="9" style="39"/>
    <col min="265" max="265" width="6.7109375" style="39" customWidth="1"/>
    <col min="266" max="266" width="0" style="39" hidden="1" customWidth="1"/>
    <col min="267" max="267" width="1.7109375" style="39" customWidth="1"/>
    <col min="268" max="268" width="6" style="39" customWidth="1"/>
    <col min="269" max="269" width="21.28515625" style="39" customWidth="1"/>
    <col min="270" max="270" width="38.7109375" style="39" customWidth="1"/>
    <col min="271" max="271" width="8.7109375" style="39" customWidth="1"/>
    <col min="272" max="514" width="9" style="39"/>
    <col min="515" max="515" width="9.28515625" style="39" customWidth="1"/>
    <col min="516" max="516" width="12.28515625" style="39" customWidth="1"/>
    <col min="517" max="517" width="11.28515625" style="39" customWidth="1"/>
    <col min="518" max="518" width="9" style="39" customWidth="1"/>
    <col min="519" max="520" width="9" style="39"/>
    <col min="521" max="521" width="6.7109375" style="39" customWidth="1"/>
    <col min="522" max="522" width="0" style="39" hidden="1" customWidth="1"/>
    <col min="523" max="523" width="1.7109375" style="39" customWidth="1"/>
    <col min="524" max="524" width="6" style="39" customWidth="1"/>
    <col min="525" max="525" width="21.28515625" style="39" customWidth="1"/>
    <col min="526" max="526" width="38.7109375" style="39" customWidth="1"/>
    <col min="527" max="527" width="8.7109375" style="39" customWidth="1"/>
    <col min="528" max="770" width="9" style="39"/>
    <col min="771" max="771" width="9.28515625" style="39" customWidth="1"/>
    <col min="772" max="772" width="12.28515625" style="39" customWidth="1"/>
    <col min="773" max="773" width="11.28515625" style="39" customWidth="1"/>
    <col min="774" max="774" width="9" style="39" customWidth="1"/>
    <col min="775" max="776" width="9" style="39"/>
    <col min="777" max="777" width="6.7109375" style="39" customWidth="1"/>
    <col min="778" max="778" width="0" style="39" hidden="1" customWidth="1"/>
    <col min="779" max="779" width="1.7109375" style="39" customWidth="1"/>
    <col min="780" max="780" width="6" style="39" customWidth="1"/>
    <col min="781" max="781" width="21.28515625" style="39" customWidth="1"/>
    <col min="782" max="782" width="38.7109375" style="39" customWidth="1"/>
    <col min="783" max="783" width="8.7109375" style="39" customWidth="1"/>
    <col min="784" max="1026" width="9" style="39"/>
    <col min="1027" max="1027" width="9.28515625" style="39" customWidth="1"/>
    <col min="1028" max="1028" width="12.28515625" style="39" customWidth="1"/>
    <col min="1029" max="1029" width="11.28515625" style="39" customWidth="1"/>
    <col min="1030" max="1030" width="9" style="39" customWidth="1"/>
    <col min="1031" max="1032" width="9" style="39"/>
    <col min="1033" max="1033" width="6.7109375" style="39" customWidth="1"/>
    <col min="1034" max="1034" width="0" style="39" hidden="1" customWidth="1"/>
    <col min="1035" max="1035" width="1.7109375" style="39" customWidth="1"/>
    <col min="1036" max="1036" width="6" style="39" customWidth="1"/>
    <col min="1037" max="1037" width="21.28515625" style="39" customWidth="1"/>
    <col min="1038" max="1038" width="38.7109375" style="39" customWidth="1"/>
    <col min="1039" max="1039" width="8.7109375" style="39" customWidth="1"/>
    <col min="1040" max="1282" width="9" style="39"/>
    <col min="1283" max="1283" width="9.28515625" style="39" customWidth="1"/>
    <col min="1284" max="1284" width="12.28515625" style="39" customWidth="1"/>
    <col min="1285" max="1285" width="11.28515625" style="39" customWidth="1"/>
    <col min="1286" max="1286" width="9" style="39" customWidth="1"/>
    <col min="1287" max="1288" width="9" style="39"/>
    <col min="1289" max="1289" width="6.7109375" style="39" customWidth="1"/>
    <col min="1290" max="1290" width="0" style="39" hidden="1" customWidth="1"/>
    <col min="1291" max="1291" width="1.7109375" style="39" customWidth="1"/>
    <col min="1292" max="1292" width="6" style="39" customWidth="1"/>
    <col min="1293" max="1293" width="21.28515625" style="39" customWidth="1"/>
    <col min="1294" max="1294" width="38.7109375" style="39" customWidth="1"/>
    <col min="1295" max="1295" width="8.7109375" style="39" customWidth="1"/>
    <col min="1296" max="1538" width="9" style="39"/>
    <col min="1539" max="1539" width="9.28515625" style="39" customWidth="1"/>
    <col min="1540" max="1540" width="12.28515625" style="39" customWidth="1"/>
    <col min="1541" max="1541" width="11.28515625" style="39" customWidth="1"/>
    <col min="1542" max="1542" width="9" style="39" customWidth="1"/>
    <col min="1543" max="1544" width="9" style="39"/>
    <col min="1545" max="1545" width="6.7109375" style="39" customWidth="1"/>
    <col min="1546" max="1546" width="0" style="39" hidden="1" customWidth="1"/>
    <col min="1547" max="1547" width="1.7109375" style="39" customWidth="1"/>
    <col min="1548" max="1548" width="6" style="39" customWidth="1"/>
    <col min="1549" max="1549" width="21.28515625" style="39" customWidth="1"/>
    <col min="1550" max="1550" width="38.7109375" style="39" customWidth="1"/>
    <col min="1551" max="1551" width="8.7109375" style="39" customWidth="1"/>
    <col min="1552" max="1794" width="9" style="39"/>
    <col min="1795" max="1795" width="9.28515625" style="39" customWidth="1"/>
    <col min="1796" max="1796" width="12.28515625" style="39" customWidth="1"/>
    <col min="1797" max="1797" width="11.28515625" style="39" customWidth="1"/>
    <col min="1798" max="1798" width="9" style="39" customWidth="1"/>
    <col min="1799" max="1800" width="9" style="39"/>
    <col min="1801" max="1801" width="6.7109375" style="39" customWidth="1"/>
    <col min="1802" max="1802" width="0" style="39" hidden="1" customWidth="1"/>
    <col min="1803" max="1803" width="1.7109375" style="39" customWidth="1"/>
    <col min="1804" max="1804" width="6" style="39" customWidth="1"/>
    <col min="1805" max="1805" width="21.28515625" style="39" customWidth="1"/>
    <col min="1806" max="1806" width="38.7109375" style="39" customWidth="1"/>
    <col min="1807" max="1807" width="8.7109375" style="39" customWidth="1"/>
    <col min="1808" max="2050" width="9" style="39"/>
    <col min="2051" max="2051" width="9.28515625" style="39" customWidth="1"/>
    <col min="2052" max="2052" width="12.28515625" style="39" customWidth="1"/>
    <col min="2053" max="2053" width="11.28515625" style="39" customWidth="1"/>
    <col min="2054" max="2054" width="9" style="39" customWidth="1"/>
    <col min="2055" max="2056" width="9" style="39"/>
    <col min="2057" max="2057" width="6.7109375" style="39" customWidth="1"/>
    <col min="2058" max="2058" width="0" style="39" hidden="1" customWidth="1"/>
    <col min="2059" max="2059" width="1.7109375" style="39" customWidth="1"/>
    <col min="2060" max="2060" width="6" style="39" customWidth="1"/>
    <col min="2061" max="2061" width="21.28515625" style="39" customWidth="1"/>
    <col min="2062" max="2062" width="38.7109375" style="39" customWidth="1"/>
    <col min="2063" max="2063" width="8.7109375" style="39" customWidth="1"/>
    <col min="2064" max="2306" width="9" style="39"/>
    <col min="2307" max="2307" width="9.28515625" style="39" customWidth="1"/>
    <col min="2308" max="2308" width="12.28515625" style="39" customWidth="1"/>
    <col min="2309" max="2309" width="11.28515625" style="39" customWidth="1"/>
    <col min="2310" max="2310" width="9" style="39" customWidth="1"/>
    <col min="2311" max="2312" width="9" style="39"/>
    <col min="2313" max="2313" width="6.7109375" style="39" customWidth="1"/>
    <col min="2314" max="2314" width="0" style="39" hidden="1" customWidth="1"/>
    <col min="2315" max="2315" width="1.7109375" style="39" customWidth="1"/>
    <col min="2316" max="2316" width="6" style="39" customWidth="1"/>
    <col min="2317" max="2317" width="21.28515625" style="39" customWidth="1"/>
    <col min="2318" max="2318" width="38.7109375" style="39" customWidth="1"/>
    <col min="2319" max="2319" width="8.7109375" style="39" customWidth="1"/>
    <col min="2320" max="2562" width="9" style="39"/>
    <col min="2563" max="2563" width="9.28515625" style="39" customWidth="1"/>
    <col min="2564" max="2564" width="12.28515625" style="39" customWidth="1"/>
    <col min="2565" max="2565" width="11.28515625" style="39" customWidth="1"/>
    <col min="2566" max="2566" width="9" style="39" customWidth="1"/>
    <col min="2567" max="2568" width="9" style="39"/>
    <col min="2569" max="2569" width="6.7109375" style="39" customWidth="1"/>
    <col min="2570" max="2570" width="0" style="39" hidden="1" customWidth="1"/>
    <col min="2571" max="2571" width="1.7109375" style="39" customWidth="1"/>
    <col min="2572" max="2572" width="6" style="39" customWidth="1"/>
    <col min="2573" max="2573" width="21.28515625" style="39" customWidth="1"/>
    <col min="2574" max="2574" width="38.7109375" style="39" customWidth="1"/>
    <col min="2575" max="2575" width="8.7109375" style="39" customWidth="1"/>
    <col min="2576" max="2818" width="9" style="39"/>
    <col min="2819" max="2819" width="9.28515625" style="39" customWidth="1"/>
    <col min="2820" max="2820" width="12.28515625" style="39" customWidth="1"/>
    <col min="2821" max="2821" width="11.28515625" style="39" customWidth="1"/>
    <col min="2822" max="2822" width="9" style="39" customWidth="1"/>
    <col min="2823" max="2824" width="9" style="39"/>
    <col min="2825" max="2825" width="6.7109375" style="39" customWidth="1"/>
    <col min="2826" max="2826" width="0" style="39" hidden="1" customWidth="1"/>
    <col min="2827" max="2827" width="1.7109375" style="39" customWidth="1"/>
    <col min="2828" max="2828" width="6" style="39" customWidth="1"/>
    <col min="2829" max="2829" width="21.28515625" style="39" customWidth="1"/>
    <col min="2830" max="2830" width="38.7109375" style="39" customWidth="1"/>
    <col min="2831" max="2831" width="8.7109375" style="39" customWidth="1"/>
    <col min="2832" max="3074" width="9" style="39"/>
    <col min="3075" max="3075" width="9.28515625" style="39" customWidth="1"/>
    <col min="3076" max="3076" width="12.28515625" style="39" customWidth="1"/>
    <col min="3077" max="3077" width="11.28515625" style="39" customWidth="1"/>
    <col min="3078" max="3078" width="9" style="39" customWidth="1"/>
    <col min="3079" max="3080" width="9" style="39"/>
    <col min="3081" max="3081" width="6.7109375" style="39" customWidth="1"/>
    <col min="3082" max="3082" width="0" style="39" hidden="1" customWidth="1"/>
    <col min="3083" max="3083" width="1.7109375" style="39" customWidth="1"/>
    <col min="3084" max="3084" width="6" style="39" customWidth="1"/>
    <col min="3085" max="3085" width="21.28515625" style="39" customWidth="1"/>
    <col min="3086" max="3086" width="38.7109375" style="39" customWidth="1"/>
    <col min="3087" max="3087" width="8.7109375" style="39" customWidth="1"/>
    <col min="3088" max="3330" width="9" style="39"/>
    <col min="3331" max="3331" width="9.28515625" style="39" customWidth="1"/>
    <col min="3332" max="3332" width="12.28515625" style="39" customWidth="1"/>
    <col min="3333" max="3333" width="11.28515625" style="39" customWidth="1"/>
    <col min="3334" max="3334" width="9" style="39" customWidth="1"/>
    <col min="3335" max="3336" width="9" style="39"/>
    <col min="3337" max="3337" width="6.7109375" style="39" customWidth="1"/>
    <col min="3338" max="3338" width="0" style="39" hidden="1" customWidth="1"/>
    <col min="3339" max="3339" width="1.7109375" style="39" customWidth="1"/>
    <col min="3340" max="3340" width="6" style="39" customWidth="1"/>
    <col min="3341" max="3341" width="21.28515625" style="39" customWidth="1"/>
    <col min="3342" max="3342" width="38.7109375" style="39" customWidth="1"/>
    <col min="3343" max="3343" width="8.7109375" style="39" customWidth="1"/>
    <col min="3344" max="3586" width="9" style="39"/>
    <col min="3587" max="3587" width="9.28515625" style="39" customWidth="1"/>
    <col min="3588" max="3588" width="12.28515625" style="39" customWidth="1"/>
    <col min="3589" max="3589" width="11.28515625" style="39" customWidth="1"/>
    <col min="3590" max="3590" width="9" style="39" customWidth="1"/>
    <col min="3591" max="3592" width="9" style="39"/>
    <col min="3593" max="3593" width="6.7109375" style="39" customWidth="1"/>
    <col min="3594" max="3594" width="0" style="39" hidden="1" customWidth="1"/>
    <col min="3595" max="3595" width="1.7109375" style="39" customWidth="1"/>
    <col min="3596" max="3596" width="6" style="39" customWidth="1"/>
    <col min="3597" max="3597" width="21.28515625" style="39" customWidth="1"/>
    <col min="3598" max="3598" width="38.7109375" style="39" customWidth="1"/>
    <col min="3599" max="3599" width="8.7109375" style="39" customWidth="1"/>
    <col min="3600" max="3842" width="9" style="39"/>
    <col min="3843" max="3843" width="9.28515625" style="39" customWidth="1"/>
    <col min="3844" max="3844" width="12.28515625" style="39" customWidth="1"/>
    <col min="3845" max="3845" width="11.28515625" style="39" customWidth="1"/>
    <col min="3846" max="3846" width="9" style="39" customWidth="1"/>
    <col min="3847" max="3848" width="9" style="39"/>
    <col min="3849" max="3849" width="6.7109375" style="39" customWidth="1"/>
    <col min="3850" max="3850" width="0" style="39" hidden="1" customWidth="1"/>
    <col min="3851" max="3851" width="1.7109375" style="39" customWidth="1"/>
    <col min="3852" max="3852" width="6" style="39" customWidth="1"/>
    <col min="3853" max="3853" width="21.28515625" style="39" customWidth="1"/>
    <col min="3854" max="3854" width="38.7109375" style="39" customWidth="1"/>
    <col min="3855" max="3855" width="8.7109375" style="39" customWidth="1"/>
    <col min="3856" max="4098" width="9" style="39"/>
    <col min="4099" max="4099" width="9.28515625" style="39" customWidth="1"/>
    <col min="4100" max="4100" width="12.28515625" style="39" customWidth="1"/>
    <col min="4101" max="4101" width="11.28515625" style="39" customWidth="1"/>
    <col min="4102" max="4102" width="9" style="39" customWidth="1"/>
    <col min="4103" max="4104" width="9" style="39"/>
    <col min="4105" max="4105" width="6.7109375" style="39" customWidth="1"/>
    <col min="4106" max="4106" width="0" style="39" hidden="1" customWidth="1"/>
    <col min="4107" max="4107" width="1.7109375" style="39" customWidth="1"/>
    <col min="4108" max="4108" width="6" style="39" customWidth="1"/>
    <col min="4109" max="4109" width="21.28515625" style="39" customWidth="1"/>
    <col min="4110" max="4110" width="38.7109375" style="39" customWidth="1"/>
    <col min="4111" max="4111" width="8.7109375" style="39" customWidth="1"/>
    <col min="4112" max="4354" width="9" style="39"/>
    <col min="4355" max="4355" width="9.28515625" style="39" customWidth="1"/>
    <col min="4356" max="4356" width="12.28515625" style="39" customWidth="1"/>
    <col min="4357" max="4357" width="11.28515625" style="39" customWidth="1"/>
    <col min="4358" max="4358" width="9" style="39" customWidth="1"/>
    <col min="4359" max="4360" width="9" style="39"/>
    <col min="4361" max="4361" width="6.7109375" style="39" customWidth="1"/>
    <col min="4362" max="4362" width="0" style="39" hidden="1" customWidth="1"/>
    <col min="4363" max="4363" width="1.7109375" style="39" customWidth="1"/>
    <col min="4364" max="4364" width="6" style="39" customWidth="1"/>
    <col min="4365" max="4365" width="21.28515625" style="39" customWidth="1"/>
    <col min="4366" max="4366" width="38.7109375" style="39" customWidth="1"/>
    <col min="4367" max="4367" width="8.7109375" style="39" customWidth="1"/>
    <col min="4368" max="4610" width="9" style="39"/>
    <col min="4611" max="4611" width="9.28515625" style="39" customWidth="1"/>
    <col min="4612" max="4612" width="12.28515625" style="39" customWidth="1"/>
    <col min="4613" max="4613" width="11.28515625" style="39" customWidth="1"/>
    <col min="4614" max="4614" width="9" style="39" customWidth="1"/>
    <col min="4615" max="4616" width="9" style="39"/>
    <col min="4617" max="4617" width="6.7109375" style="39" customWidth="1"/>
    <col min="4618" max="4618" width="0" style="39" hidden="1" customWidth="1"/>
    <col min="4619" max="4619" width="1.7109375" style="39" customWidth="1"/>
    <col min="4620" max="4620" width="6" style="39" customWidth="1"/>
    <col min="4621" max="4621" width="21.28515625" style="39" customWidth="1"/>
    <col min="4622" max="4622" width="38.7109375" style="39" customWidth="1"/>
    <col min="4623" max="4623" width="8.7109375" style="39" customWidth="1"/>
    <col min="4624" max="4866" width="9" style="39"/>
    <col min="4867" max="4867" width="9.28515625" style="39" customWidth="1"/>
    <col min="4868" max="4868" width="12.28515625" style="39" customWidth="1"/>
    <col min="4869" max="4869" width="11.28515625" style="39" customWidth="1"/>
    <col min="4870" max="4870" width="9" style="39" customWidth="1"/>
    <col min="4871" max="4872" width="9" style="39"/>
    <col min="4873" max="4873" width="6.7109375" style="39" customWidth="1"/>
    <col min="4874" max="4874" width="0" style="39" hidden="1" customWidth="1"/>
    <col min="4875" max="4875" width="1.7109375" style="39" customWidth="1"/>
    <col min="4876" max="4876" width="6" style="39" customWidth="1"/>
    <col min="4877" max="4877" width="21.28515625" style="39" customWidth="1"/>
    <col min="4878" max="4878" width="38.7109375" style="39" customWidth="1"/>
    <col min="4879" max="4879" width="8.7109375" style="39" customWidth="1"/>
    <col min="4880" max="5122" width="9" style="39"/>
    <col min="5123" max="5123" width="9.28515625" style="39" customWidth="1"/>
    <col min="5124" max="5124" width="12.28515625" style="39" customWidth="1"/>
    <col min="5125" max="5125" width="11.28515625" style="39" customWidth="1"/>
    <col min="5126" max="5126" width="9" style="39" customWidth="1"/>
    <col min="5127" max="5128" width="9" style="39"/>
    <col min="5129" max="5129" width="6.7109375" style="39" customWidth="1"/>
    <col min="5130" max="5130" width="0" style="39" hidden="1" customWidth="1"/>
    <col min="5131" max="5131" width="1.7109375" style="39" customWidth="1"/>
    <col min="5132" max="5132" width="6" style="39" customWidth="1"/>
    <col min="5133" max="5133" width="21.28515625" style="39" customWidth="1"/>
    <col min="5134" max="5134" width="38.7109375" style="39" customWidth="1"/>
    <col min="5135" max="5135" width="8.7109375" style="39" customWidth="1"/>
    <col min="5136" max="5378" width="9" style="39"/>
    <col min="5379" max="5379" width="9.28515625" style="39" customWidth="1"/>
    <col min="5380" max="5380" width="12.28515625" style="39" customWidth="1"/>
    <col min="5381" max="5381" width="11.28515625" style="39" customWidth="1"/>
    <col min="5382" max="5382" width="9" style="39" customWidth="1"/>
    <col min="5383" max="5384" width="9" style="39"/>
    <col min="5385" max="5385" width="6.7109375" style="39" customWidth="1"/>
    <col min="5386" max="5386" width="0" style="39" hidden="1" customWidth="1"/>
    <col min="5387" max="5387" width="1.7109375" style="39" customWidth="1"/>
    <col min="5388" max="5388" width="6" style="39" customWidth="1"/>
    <col min="5389" max="5389" width="21.28515625" style="39" customWidth="1"/>
    <col min="5390" max="5390" width="38.7109375" style="39" customWidth="1"/>
    <col min="5391" max="5391" width="8.7109375" style="39" customWidth="1"/>
    <col min="5392" max="5634" width="9" style="39"/>
    <col min="5635" max="5635" width="9.28515625" style="39" customWidth="1"/>
    <col min="5636" max="5636" width="12.28515625" style="39" customWidth="1"/>
    <col min="5637" max="5637" width="11.28515625" style="39" customWidth="1"/>
    <col min="5638" max="5638" width="9" style="39" customWidth="1"/>
    <col min="5639" max="5640" width="9" style="39"/>
    <col min="5641" max="5641" width="6.7109375" style="39" customWidth="1"/>
    <col min="5642" max="5642" width="0" style="39" hidden="1" customWidth="1"/>
    <col min="5643" max="5643" width="1.7109375" style="39" customWidth="1"/>
    <col min="5644" max="5644" width="6" style="39" customWidth="1"/>
    <col min="5645" max="5645" width="21.28515625" style="39" customWidth="1"/>
    <col min="5646" max="5646" width="38.7109375" style="39" customWidth="1"/>
    <col min="5647" max="5647" width="8.7109375" style="39" customWidth="1"/>
    <col min="5648" max="5890" width="9" style="39"/>
    <col min="5891" max="5891" width="9.28515625" style="39" customWidth="1"/>
    <col min="5892" max="5892" width="12.28515625" style="39" customWidth="1"/>
    <col min="5893" max="5893" width="11.28515625" style="39" customWidth="1"/>
    <col min="5894" max="5894" width="9" style="39" customWidth="1"/>
    <col min="5895" max="5896" width="9" style="39"/>
    <col min="5897" max="5897" width="6.7109375" style="39" customWidth="1"/>
    <col min="5898" max="5898" width="0" style="39" hidden="1" customWidth="1"/>
    <col min="5899" max="5899" width="1.7109375" style="39" customWidth="1"/>
    <col min="5900" max="5900" width="6" style="39" customWidth="1"/>
    <col min="5901" max="5901" width="21.28515625" style="39" customWidth="1"/>
    <col min="5902" max="5902" width="38.7109375" style="39" customWidth="1"/>
    <col min="5903" max="5903" width="8.7109375" style="39" customWidth="1"/>
    <col min="5904" max="6146" width="9" style="39"/>
    <col min="6147" max="6147" width="9.28515625" style="39" customWidth="1"/>
    <col min="6148" max="6148" width="12.28515625" style="39" customWidth="1"/>
    <col min="6149" max="6149" width="11.28515625" style="39" customWidth="1"/>
    <col min="6150" max="6150" width="9" style="39" customWidth="1"/>
    <col min="6151" max="6152" width="9" style="39"/>
    <col min="6153" max="6153" width="6.7109375" style="39" customWidth="1"/>
    <col min="6154" max="6154" width="0" style="39" hidden="1" customWidth="1"/>
    <col min="6155" max="6155" width="1.7109375" style="39" customWidth="1"/>
    <col min="6156" max="6156" width="6" style="39" customWidth="1"/>
    <col min="6157" max="6157" width="21.28515625" style="39" customWidth="1"/>
    <col min="6158" max="6158" width="38.7109375" style="39" customWidth="1"/>
    <col min="6159" max="6159" width="8.7109375" style="39" customWidth="1"/>
    <col min="6160" max="6402" width="9" style="39"/>
    <col min="6403" max="6403" width="9.28515625" style="39" customWidth="1"/>
    <col min="6404" max="6404" width="12.28515625" style="39" customWidth="1"/>
    <col min="6405" max="6405" width="11.28515625" style="39" customWidth="1"/>
    <col min="6406" max="6406" width="9" style="39" customWidth="1"/>
    <col min="6407" max="6408" width="9" style="39"/>
    <col min="6409" max="6409" width="6.7109375" style="39" customWidth="1"/>
    <col min="6410" max="6410" width="0" style="39" hidden="1" customWidth="1"/>
    <col min="6411" max="6411" width="1.7109375" style="39" customWidth="1"/>
    <col min="6412" max="6412" width="6" style="39" customWidth="1"/>
    <col min="6413" max="6413" width="21.28515625" style="39" customWidth="1"/>
    <col min="6414" max="6414" width="38.7109375" style="39" customWidth="1"/>
    <col min="6415" max="6415" width="8.7109375" style="39" customWidth="1"/>
    <col min="6416" max="6658" width="9" style="39"/>
    <col min="6659" max="6659" width="9.28515625" style="39" customWidth="1"/>
    <col min="6660" max="6660" width="12.28515625" style="39" customWidth="1"/>
    <col min="6661" max="6661" width="11.28515625" style="39" customWidth="1"/>
    <col min="6662" max="6662" width="9" style="39" customWidth="1"/>
    <col min="6663" max="6664" width="9" style="39"/>
    <col min="6665" max="6665" width="6.7109375" style="39" customWidth="1"/>
    <col min="6666" max="6666" width="0" style="39" hidden="1" customWidth="1"/>
    <col min="6667" max="6667" width="1.7109375" style="39" customWidth="1"/>
    <col min="6668" max="6668" width="6" style="39" customWidth="1"/>
    <col min="6669" max="6669" width="21.28515625" style="39" customWidth="1"/>
    <col min="6670" max="6670" width="38.7109375" style="39" customWidth="1"/>
    <col min="6671" max="6671" width="8.7109375" style="39" customWidth="1"/>
    <col min="6672" max="6914" width="9" style="39"/>
    <col min="6915" max="6915" width="9.28515625" style="39" customWidth="1"/>
    <col min="6916" max="6916" width="12.28515625" style="39" customWidth="1"/>
    <col min="6917" max="6917" width="11.28515625" style="39" customWidth="1"/>
    <col min="6918" max="6918" width="9" style="39" customWidth="1"/>
    <col min="6919" max="6920" width="9" style="39"/>
    <col min="6921" max="6921" width="6.7109375" style="39" customWidth="1"/>
    <col min="6922" max="6922" width="0" style="39" hidden="1" customWidth="1"/>
    <col min="6923" max="6923" width="1.7109375" style="39" customWidth="1"/>
    <col min="6924" max="6924" width="6" style="39" customWidth="1"/>
    <col min="6925" max="6925" width="21.28515625" style="39" customWidth="1"/>
    <col min="6926" max="6926" width="38.7109375" style="39" customWidth="1"/>
    <col min="6927" max="6927" width="8.7109375" style="39" customWidth="1"/>
    <col min="6928" max="7170" width="9" style="39"/>
    <col min="7171" max="7171" width="9.28515625" style="39" customWidth="1"/>
    <col min="7172" max="7172" width="12.28515625" style="39" customWidth="1"/>
    <col min="7173" max="7173" width="11.28515625" style="39" customWidth="1"/>
    <col min="7174" max="7174" width="9" style="39" customWidth="1"/>
    <col min="7175" max="7176" width="9" style="39"/>
    <col min="7177" max="7177" width="6.7109375" style="39" customWidth="1"/>
    <col min="7178" max="7178" width="0" style="39" hidden="1" customWidth="1"/>
    <col min="7179" max="7179" width="1.7109375" style="39" customWidth="1"/>
    <col min="7180" max="7180" width="6" style="39" customWidth="1"/>
    <col min="7181" max="7181" width="21.28515625" style="39" customWidth="1"/>
    <col min="7182" max="7182" width="38.7109375" style="39" customWidth="1"/>
    <col min="7183" max="7183" width="8.7109375" style="39" customWidth="1"/>
    <col min="7184" max="7426" width="9" style="39"/>
    <col min="7427" max="7427" width="9.28515625" style="39" customWidth="1"/>
    <col min="7428" max="7428" width="12.28515625" style="39" customWidth="1"/>
    <col min="7429" max="7429" width="11.28515625" style="39" customWidth="1"/>
    <col min="7430" max="7430" width="9" style="39" customWidth="1"/>
    <col min="7431" max="7432" width="9" style="39"/>
    <col min="7433" max="7433" width="6.7109375" style="39" customWidth="1"/>
    <col min="7434" max="7434" width="0" style="39" hidden="1" customWidth="1"/>
    <col min="7435" max="7435" width="1.7109375" style="39" customWidth="1"/>
    <col min="7436" max="7436" width="6" style="39" customWidth="1"/>
    <col min="7437" max="7437" width="21.28515625" style="39" customWidth="1"/>
    <col min="7438" max="7438" width="38.7109375" style="39" customWidth="1"/>
    <col min="7439" max="7439" width="8.7109375" style="39" customWidth="1"/>
    <col min="7440" max="7682" width="9" style="39"/>
    <col min="7683" max="7683" width="9.28515625" style="39" customWidth="1"/>
    <col min="7684" max="7684" width="12.28515625" style="39" customWidth="1"/>
    <col min="7685" max="7685" width="11.28515625" style="39" customWidth="1"/>
    <col min="7686" max="7686" width="9" style="39" customWidth="1"/>
    <col min="7687" max="7688" width="9" style="39"/>
    <col min="7689" max="7689" width="6.7109375" style="39" customWidth="1"/>
    <col min="7690" max="7690" width="0" style="39" hidden="1" customWidth="1"/>
    <col min="7691" max="7691" width="1.7109375" style="39" customWidth="1"/>
    <col min="7692" max="7692" width="6" style="39" customWidth="1"/>
    <col min="7693" max="7693" width="21.28515625" style="39" customWidth="1"/>
    <col min="7694" max="7694" width="38.7109375" style="39" customWidth="1"/>
    <col min="7695" max="7695" width="8.7109375" style="39" customWidth="1"/>
    <col min="7696" max="7938" width="9" style="39"/>
    <col min="7939" max="7939" width="9.28515625" style="39" customWidth="1"/>
    <col min="7940" max="7940" width="12.28515625" style="39" customWidth="1"/>
    <col min="7941" max="7941" width="11.28515625" style="39" customWidth="1"/>
    <col min="7942" max="7942" width="9" style="39" customWidth="1"/>
    <col min="7943" max="7944" width="9" style="39"/>
    <col min="7945" max="7945" width="6.7109375" style="39" customWidth="1"/>
    <col min="7946" max="7946" width="0" style="39" hidden="1" customWidth="1"/>
    <col min="7947" max="7947" width="1.7109375" style="39" customWidth="1"/>
    <col min="7948" max="7948" width="6" style="39" customWidth="1"/>
    <col min="7949" max="7949" width="21.28515625" style="39" customWidth="1"/>
    <col min="7950" max="7950" width="38.7109375" style="39" customWidth="1"/>
    <col min="7951" max="7951" width="8.7109375" style="39" customWidth="1"/>
    <col min="7952" max="8194" width="9" style="39"/>
    <col min="8195" max="8195" width="9.28515625" style="39" customWidth="1"/>
    <col min="8196" max="8196" width="12.28515625" style="39" customWidth="1"/>
    <col min="8197" max="8197" width="11.28515625" style="39" customWidth="1"/>
    <col min="8198" max="8198" width="9" style="39" customWidth="1"/>
    <col min="8199" max="8200" width="9" style="39"/>
    <col min="8201" max="8201" width="6.7109375" style="39" customWidth="1"/>
    <col min="8202" max="8202" width="0" style="39" hidden="1" customWidth="1"/>
    <col min="8203" max="8203" width="1.7109375" style="39" customWidth="1"/>
    <col min="8204" max="8204" width="6" style="39" customWidth="1"/>
    <col min="8205" max="8205" width="21.28515625" style="39" customWidth="1"/>
    <col min="8206" max="8206" width="38.7109375" style="39" customWidth="1"/>
    <col min="8207" max="8207" width="8.7109375" style="39" customWidth="1"/>
    <col min="8208" max="8450" width="9" style="39"/>
    <col min="8451" max="8451" width="9.28515625" style="39" customWidth="1"/>
    <col min="8452" max="8452" width="12.28515625" style="39" customWidth="1"/>
    <col min="8453" max="8453" width="11.28515625" style="39" customWidth="1"/>
    <col min="8454" max="8454" width="9" style="39" customWidth="1"/>
    <col min="8455" max="8456" width="9" style="39"/>
    <col min="8457" max="8457" width="6.7109375" style="39" customWidth="1"/>
    <col min="8458" max="8458" width="0" style="39" hidden="1" customWidth="1"/>
    <col min="8459" max="8459" width="1.7109375" style="39" customWidth="1"/>
    <col min="8460" max="8460" width="6" style="39" customWidth="1"/>
    <col min="8461" max="8461" width="21.28515625" style="39" customWidth="1"/>
    <col min="8462" max="8462" width="38.7109375" style="39" customWidth="1"/>
    <col min="8463" max="8463" width="8.7109375" style="39" customWidth="1"/>
    <col min="8464" max="8706" width="9" style="39"/>
    <col min="8707" max="8707" width="9.28515625" style="39" customWidth="1"/>
    <col min="8708" max="8708" width="12.28515625" style="39" customWidth="1"/>
    <col min="8709" max="8709" width="11.28515625" style="39" customWidth="1"/>
    <col min="8710" max="8710" width="9" style="39" customWidth="1"/>
    <col min="8711" max="8712" width="9" style="39"/>
    <col min="8713" max="8713" width="6.7109375" style="39" customWidth="1"/>
    <col min="8714" max="8714" width="0" style="39" hidden="1" customWidth="1"/>
    <col min="8715" max="8715" width="1.7109375" style="39" customWidth="1"/>
    <col min="8716" max="8716" width="6" style="39" customWidth="1"/>
    <col min="8717" max="8717" width="21.28515625" style="39" customWidth="1"/>
    <col min="8718" max="8718" width="38.7109375" style="39" customWidth="1"/>
    <col min="8719" max="8719" width="8.7109375" style="39" customWidth="1"/>
    <col min="8720" max="8962" width="9" style="39"/>
    <col min="8963" max="8963" width="9.28515625" style="39" customWidth="1"/>
    <col min="8964" max="8964" width="12.28515625" style="39" customWidth="1"/>
    <col min="8965" max="8965" width="11.28515625" style="39" customWidth="1"/>
    <col min="8966" max="8966" width="9" style="39" customWidth="1"/>
    <col min="8967" max="8968" width="9" style="39"/>
    <col min="8969" max="8969" width="6.7109375" style="39" customWidth="1"/>
    <col min="8970" max="8970" width="0" style="39" hidden="1" customWidth="1"/>
    <col min="8971" max="8971" width="1.7109375" style="39" customWidth="1"/>
    <col min="8972" max="8972" width="6" style="39" customWidth="1"/>
    <col min="8973" max="8973" width="21.28515625" style="39" customWidth="1"/>
    <col min="8974" max="8974" width="38.7109375" style="39" customWidth="1"/>
    <col min="8975" max="8975" width="8.7109375" style="39" customWidth="1"/>
    <col min="8976" max="9218" width="9" style="39"/>
    <col min="9219" max="9219" width="9.28515625" style="39" customWidth="1"/>
    <col min="9220" max="9220" width="12.28515625" style="39" customWidth="1"/>
    <col min="9221" max="9221" width="11.28515625" style="39" customWidth="1"/>
    <col min="9222" max="9222" width="9" style="39" customWidth="1"/>
    <col min="9223" max="9224" width="9" style="39"/>
    <col min="9225" max="9225" width="6.7109375" style="39" customWidth="1"/>
    <col min="9226" max="9226" width="0" style="39" hidden="1" customWidth="1"/>
    <col min="9227" max="9227" width="1.7109375" style="39" customWidth="1"/>
    <col min="9228" max="9228" width="6" style="39" customWidth="1"/>
    <col min="9229" max="9229" width="21.28515625" style="39" customWidth="1"/>
    <col min="9230" max="9230" width="38.7109375" style="39" customWidth="1"/>
    <col min="9231" max="9231" width="8.7109375" style="39" customWidth="1"/>
    <col min="9232" max="9474" width="9" style="39"/>
    <col min="9475" max="9475" width="9.28515625" style="39" customWidth="1"/>
    <col min="9476" max="9476" width="12.28515625" style="39" customWidth="1"/>
    <col min="9477" max="9477" width="11.28515625" style="39" customWidth="1"/>
    <col min="9478" max="9478" width="9" style="39" customWidth="1"/>
    <col min="9479" max="9480" width="9" style="39"/>
    <col min="9481" max="9481" width="6.7109375" style="39" customWidth="1"/>
    <col min="9482" max="9482" width="0" style="39" hidden="1" customWidth="1"/>
    <col min="9483" max="9483" width="1.7109375" style="39" customWidth="1"/>
    <col min="9484" max="9484" width="6" style="39" customWidth="1"/>
    <col min="9485" max="9485" width="21.28515625" style="39" customWidth="1"/>
    <col min="9486" max="9486" width="38.7109375" style="39" customWidth="1"/>
    <col min="9487" max="9487" width="8.7109375" style="39" customWidth="1"/>
    <col min="9488" max="9730" width="9" style="39"/>
    <col min="9731" max="9731" width="9.28515625" style="39" customWidth="1"/>
    <col min="9732" max="9732" width="12.28515625" style="39" customWidth="1"/>
    <col min="9733" max="9733" width="11.28515625" style="39" customWidth="1"/>
    <col min="9734" max="9734" width="9" style="39" customWidth="1"/>
    <col min="9735" max="9736" width="9" style="39"/>
    <col min="9737" max="9737" width="6.7109375" style="39" customWidth="1"/>
    <col min="9738" max="9738" width="0" style="39" hidden="1" customWidth="1"/>
    <col min="9739" max="9739" width="1.7109375" style="39" customWidth="1"/>
    <col min="9740" max="9740" width="6" style="39" customWidth="1"/>
    <col min="9741" max="9741" width="21.28515625" style="39" customWidth="1"/>
    <col min="9742" max="9742" width="38.7109375" style="39" customWidth="1"/>
    <col min="9743" max="9743" width="8.7109375" style="39" customWidth="1"/>
    <col min="9744" max="9986" width="9" style="39"/>
    <col min="9987" max="9987" width="9.28515625" style="39" customWidth="1"/>
    <col min="9988" max="9988" width="12.28515625" style="39" customWidth="1"/>
    <col min="9989" max="9989" width="11.28515625" style="39" customWidth="1"/>
    <col min="9990" max="9990" width="9" style="39" customWidth="1"/>
    <col min="9991" max="9992" width="9" style="39"/>
    <col min="9993" max="9993" width="6.7109375" style="39" customWidth="1"/>
    <col min="9994" max="9994" width="0" style="39" hidden="1" customWidth="1"/>
    <col min="9995" max="9995" width="1.7109375" style="39" customWidth="1"/>
    <col min="9996" max="9996" width="6" style="39" customWidth="1"/>
    <col min="9997" max="9997" width="21.28515625" style="39" customWidth="1"/>
    <col min="9998" max="9998" width="38.7109375" style="39" customWidth="1"/>
    <col min="9999" max="9999" width="8.7109375" style="39" customWidth="1"/>
    <col min="10000" max="10242" width="9" style="39"/>
    <col min="10243" max="10243" width="9.28515625" style="39" customWidth="1"/>
    <col min="10244" max="10244" width="12.28515625" style="39" customWidth="1"/>
    <col min="10245" max="10245" width="11.28515625" style="39" customWidth="1"/>
    <col min="10246" max="10246" width="9" style="39" customWidth="1"/>
    <col min="10247" max="10248" width="9" style="39"/>
    <col min="10249" max="10249" width="6.7109375" style="39" customWidth="1"/>
    <col min="10250" max="10250" width="0" style="39" hidden="1" customWidth="1"/>
    <col min="10251" max="10251" width="1.7109375" style="39" customWidth="1"/>
    <col min="10252" max="10252" width="6" style="39" customWidth="1"/>
    <col min="10253" max="10253" width="21.28515625" style="39" customWidth="1"/>
    <col min="10254" max="10254" width="38.7109375" style="39" customWidth="1"/>
    <col min="10255" max="10255" width="8.7109375" style="39" customWidth="1"/>
    <col min="10256" max="10498" width="9" style="39"/>
    <col min="10499" max="10499" width="9.28515625" style="39" customWidth="1"/>
    <col min="10500" max="10500" width="12.28515625" style="39" customWidth="1"/>
    <col min="10501" max="10501" width="11.28515625" style="39" customWidth="1"/>
    <col min="10502" max="10502" width="9" style="39" customWidth="1"/>
    <col min="10503" max="10504" width="9" style="39"/>
    <col min="10505" max="10505" width="6.7109375" style="39" customWidth="1"/>
    <col min="10506" max="10506" width="0" style="39" hidden="1" customWidth="1"/>
    <col min="10507" max="10507" width="1.7109375" style="39" customWidth="1"/>
    <col min="10508" max="10508" width="6" style="39" customWidth="1"/>
    <col min="10509" max="10509" width="21.28515625" style="39" customWidth="1"/>
    <col min="10510" max="10510" width="38.7109375" style="39" customWidth="1"/>
    <col min="10511" max="10511" width="8.7109375" style="39" customWidth="1"/>
    <col min="10512" max="10754" width="9" style="39"/>
    <col min="10755" max="10755" width="9.28515625" style="39" customWidth="1"/>
    <col min="10756" max="10756" width="12.28515625" style="39" customWidth="1"/>
    <col min="10757" max="10757" width="11.28515625" style="39" customWidth="1"/>
    <col min="10758" max="10758" width="9" style="39" customWidth="1"/>
    <col min="10759" max="10760" width="9" style="39"/>
    <col min="10761" max="10761" width="6.7109375" style="39" customWidth="1"/>
    <col min="10762" max="10762" width="0" style="39" hidden="1" customWidth="1"/>
    <col min="10763" max="10763" width="1.7109375" style="39" customWidth="1"/>
    <col min="10764" max="10764" width="6" style="39" customWidth="1"/>
    <col min="10765" max="10765" width="21.28515625" style="39" customWidth="1"/>
    <col min="10766" max="10766" width="38.7109375" style="39" customWidth="1"/>
    <col min="10767" max="10767" width="8.7109375" style="39" customWidth="1"/>
    <col min="10768" max="11010" width="9" style="39"/>
    <col min="11011" max="11011" width="9.28515625" style="39" customWidth="1"/>
    <col min="11012" max="11012" width="12.28515625" style="39" customWidth="1"/>
    <col min="11013" max="11013" width="11.28515625" style="39" customWidth="1"/>
    <col min="11014" max="11014" width="9" style="39" customWidth="1"/>
    <col min="11015" max="11016" width="9" style="39"/>
    <col min="11017" max="11017" width="6.7109375" style="39" customWidth="1"/>
    <col min="11018" max="11018" width="0" style="39" hidden="1" customWidth="1"/>
    <col min="11019" max="11019" width="1.7109375" style="39" customWidth="1"/>
    <col min="11020" max="11020" width="6" style="39" customWidth="1"/>
    <col min="11021" max="11021" width="21.28515625" style="39" customWidth="1"/>
    <col min="11022" max="11022" width="38.7109375" style="39" customWidth="1"/>
    <col min="11023" max="11023" width="8.7109375" style="39" customWidth="1"/>
    <col min="11024" max="11266" width="9" style="39"/>
    <col min="11267" max="11267" width="9.28515625" style="39" customWidth="1"/>
    <col min="11268" max="11268" width="12.28515625" style="39" customWidth="1"/>
    <col min="11269" max="11269" width="11.28515625" style="39" customWidth="1"/>
    <col min="11270" max="11270" width="9" style="39" customWidth="1"/>
    <col min="11271" max="11272" width="9" style="39"/>
    <col min="11273" max="11273" width="6.7109375" style="39" customWidth="1"/>
    <col min="11274" max="11274" width="0" style="39" hidden="1" customWidth="1"/>
    <col min="11275" max="11275" width="1.7109375" style="39" customWidth="1"/>
    <col min="11276" max="11276" width="6" style="39" customWidth="1"/>
    <col min="11277" max="11277" width="21.28515625" style="39" customWidth="1"/>
    <col min="11278" max="11278" width="38.7109375" style="39" customWidth="1"/>
    <col min="11279" max="11279" width="8.7109375" style="39" customWidth="1"/>
    <col min="11280" max="11522" width="9" style="39"/>
    <col min="11523" max="11523" width="9.28515625" style="39" customWidth="1"/>
    <col min="11524" max="11524" width="12.28515625" style="39" customWidth="1"/>
    <col min="11525" max="11525" width="11.28515625" style="39" customWidth="1"/>
    <col min="11526" max="11526" width="9" style="39" customWidth="1"/>
    <col min="11527" max="11528" width="9" style="39"/>
    <col min="11529" max="11529" width="6.7109375" style="39" customWidth="1"/>
    <col min="11530" max="11530" width="0" style="39" hidden="1" customWidth="1"/>
    <col min="11531" max="11531" width="1.7109375" style="39" customWidth="1"/>
    <col min="11532" max="11532" width="6" style="39" customWidth="1"/>
    <col min="11533" max="11533" width="21.28515625" style="39" customWidth="1"/>
    <col min="11534" max="11534" width="38.7109375" style="39" customWidth="1"/>
    <col min="11535" max="11535" width="8.7109375" style="39" customWidth="1"/>
    <col min="11536" max="11778" width="9" style="39"/>
    <col min="11779" max="11779" width="9.28515625" style="39" customWidth="1"/>
    <col min="11780" max="11780" width="12.28515625" style="39" customWidth="1"/>
    <col min="11781" max="11781" width="11.28515625" style="39" customWidth="1"/>
    <col min="11782" max="11782" width="9" style="39" customWidth="1"/>
    <col min="11783" max="11784" width="9" style="39"/>
    <col min="11785" max="11785" width="6.7109375" style="39" customWidth="1"/>
    <col min="11786" max="11786" width="0" style="39" hidden="1" customWidth="1"/>
    <col min="11787" max="11787" width="1.7109375" style="39" customWidth="1"/>
    <col min="11788" max="11788" width="6" style="39" customWidth="1"/>
    <col min="11789" max="11789" width="21.28515625" style="39" customWidth="1"/>
    <col min="11790" max="11790" width="38.7109375" style="39" customWidth="1"/>
    <col min="11791" max="11791" width="8.7109375" style="39" customWidth="1"/>
    <col min="11792" max="12034" width="9" style="39"/>
    <col min="12035" max="12035" width="9.28515625" style="39" customWidth="1"/>
    <col min="12036" max="12036" width="12.28515625" style="39" customWidth="1"/>
    <col min="12037" max="12037" width="11.28515625" style="39" customWidth="1"/>
    <col min="12038" max="12038" width="9" style="39" customWidth="1"/>
    <col min="12039" max="12040" width="9" style="39"/>
    <col min="12041" max="12041" width="6.7109375" style="39" customWidth="1"/>
    <col min="12042" max="12042" width="0" style="39" hidden="1" customWidth="1"/>
    <col min="12043" max="12043" width="1.7109375" style="39" customWidth="1"/>
    <col min="12044" max="12044" width="6" style="39" customWidth="1"/>
    <col min="12045" max="12045" width="21.28515625" style="39" customWidth="1"/>
    <col min="12046" max="12046" width="38.7109375" style="39" customWidth="1"/>
    <col min="12047" max="12047" width="8.7109375" style="39" customWidth="1"/>
    <col min="12048" max="12290" width="9" style="39"/>
    <col min="12291" max="12291" width="9.28515625" style="39" customWidth="1"/>
    <col min="12292" max="12292" width="12.28515625" style="39" customWidth="1"/>
    <col min="12293" max="12293" width="11.28515625" style="39" customWidth="1"/>
    <col min="12294" max="12294" width="9" style="39" customWidth="1"/>
    <col min="12295" max="12296" width="9" style="39"/>
    <col min="12297" max="12297" width="6.7109375" style="39" customWidth="1"/>
    <col min="12298" max="12298" width="0" style="39" hidden="1" customWidth="1"/>
    <col min="12299" max="12299" width="1.7109375" style="39" customWidth="1"/>
    <col min="12300" max="12300" width="6" style="39" customWidth="1"/>
    <col min="12301" max="12301" width="21.28515625" style="39" customWidth="1"/>
    <col min="12302" max="12302" width="38.7109375" style="39" customWidth="1"/>
    <col min="12303" max="12303" width="8.7109375" style="39" customWidth="1"/>
    <col min="12304" max="12546" width="9" style="39"/>
    <col min="12547" max="12547" width="9.28515625" style="39" customWidth="1"/>
    <col min="12548" max="12548" width="12.28515625" style="39" customWidth="1"/>
    <col min="12549" max="12549" width="11.28515625" style="39" customWidth="1"/>
    <col min="12550" max="12550" width="9" style="39" customWidth="1"/>
    <col min="12551" max="12552" width="9" style="39"/>
    <col min="12553" max="12553" width="6.7109375" style="39" customWidth="1"/>
    <col min="12554" max="12554" width="0" style="39" hidden="1" customWidth="1"/>
    <col min="12555" max="12555" width="1.7109375" style="39" customWidth="1"/>
    <col min="12556" max="12556" width="6" style="39" customWidth="1"/>
    <col min="12557" max="12557" width="21.28515625" style="39" customWidth="1"/>
    <col min="12558" max="12558" width="38.7109375" style="39" customWidth="1"/>
    <col min="12559" max="12559" width="8.7109375" style="39" customWidth="1"/>
    <col min="12560" max="12802" width="9" style="39"/>
    <col min="12803" max="12803" width="9.28515625" style="39" customWidth="1"/>
    <col min="12804" max="12804" width="12.28515625" style="39" customWidth="1"/>
    <col min="12805" max="12805" width="11.28515625" style="39" customWidth="1"/>
    <col min="12806" max="12806" width="9" style="39" customWidth="1"/>
    <col min="12807" max="12808" width="9" style="39"/>
    <col min="12809" max="12809" width="6.7109375" style="39" customWidth="1"/>
    <col min="12810" max="12810" width="0" style="39" hidden="1" customWidth="1"/>
    <col min="12811" max="12811" width="1.7109375" style="39" customWidth="1"/>
    <col min="12812" max="12812" width="6" style="39" customWidth="1"/>
    <col min="12813" max="12813" width="21.28515625" style="39" customWidth="1"/>
    <col min="12814" max="12814" width="38.7109375" style="39" customWidth="1"/>
    <col min="12815" max="12815" width="8.7109375" style="39" customWidth="1"/>
    <col min="12816" max="13058" width="9" style="39"/>
    <col min="13059" max="13059" width="9.28515625" style="39" customWidth="1"/>
    <col min="13060" max="13060" width="12.28515625" style="39" customWidth="1"/>
    <col min="13061" max="13061" width="11.28515625" style="39" customWidth="1"/>
    <col min="13062" max="13062" width="9" style="39" customWidth="1"/>
    <col min="13063" max="13064" width="9" style="39"/>
    <col min="13065" max="13065" width="6.7109375" style="39" customWidth="1"/>
    <col min="13066" max="13066" width="0" style="39" hidden="1" customWidth="1"/>
    <col min="13067" max="13067" width="1.7109375" style="39" customWidth="1"/>
    <col min="13068" max="13068" width="6" style="39" customWidth="1"/>
    <col min="13069" max="13069" width="21.28515625" style="39" customWidth="1"/>
    <col min="13070" max="13070" width="38.7109375" style="39" customWidth="1"/>
    <col min="13071" max="13071" width="8.7109375" style="39" customWidth="1"/>
    <col min="13072" max="13314" width="9" style="39"/>
    <col min="13315" max="13315" width="9.28515625" style="39" customWidth="1"/>
    <col min="13316" max="13316" width="12.28515625" style="39" customWidth="1"/>
    <col min="13317" max="13317" width="11.28515625" style="39" customWidth="1"/>
    <col min="13318" max="13318" width="9" style="39" customWidth="1"/>
    <col min="13319" max="13320" width="9" style="39"/>
    <col min="13321" max="13321" width="6.7109375" style="39" customWidth="1"/>
    <col min="13322" max="13322" width="0" style="39" hidden="1" customWidth="1"/>
    <col min="13323" max="13323" width="1.7109375" style="39" customWidth="1"/>
    <col min="13324" max="13324" width="6" style="39" customWidth="1"/>
    <col min="13325" max="13325" width="21.28515625" style="39" customWidth="1"/>
    <col min="13326" max="13326" width="38.7109375" style="39" customWidth="1"/>
    <col min="13327" max="13327" width="8.7109375" style="39" customWidth="1"/>
    <col min="13328" max="13570" width="9" style="39"/>
    <col min="13571" max="13571" width="9.28515625" style="39" customWidth="1"/>
    <col min="13572" max="13572" width="12.28515625" style="39" customWidth="1"/>
    <col min="13573" max="13573" width="11.28515625" style="39" customWidth="1"/>
    <col min="13574" max="13574" width="9" style="39" customWidth="1"/>
    <col min="13575" max="13576" width="9" style="39"/>
    <col min="13577" max="13577" width="6.7109375" style="39" customWidth="1"/>
    <col min="13578" max="13578" width="0" style="39" hidden="1" customWidth="1"/>
    <col min="13579" max="13579" width="1.7109375" style="39" customWidth="1"/>
    <col min="13580" max="13580" width="6" style="39" customWidth="1"/>
    <col min="13581" max="13581" width="21.28515625" style="39" customWidth="1"/>
    <col min="13582" max="13582" width="38.7109375" style="39" customWidth="1"/>
    <col min="13583" max="13583" width="8.7109375" style="39" customWidth="1"/>
    <col min="13584" max="13826" width="9" style="39"/>
    <col min="13827" max="13827" width="9.28515625" style="39" customWidth="1"/>
    <col min="13828" max="13828" width="12.28515625" style="39" customWidth="1"/>
    <col min="13829" max="13829" width="11.28515625" style="39" customWidth="1"/>
    <col min="13830" max="13830" width="9" style="39" customWidth="1"/>
    <col min="13831" max="13832" width="9" style="39"/>
    <col min="13833" max="13833" width="6.7109375" style="39" customWidth="1"/>
    <col min="13834" max="13834" width="0" style="39" hidden="1" customWidth="1"/>
    <col min="13835" max="13835" width="1.7109375" style="39" customWidth="1"/>
    <col min="13836" max="13836" width="6" style="39" customWidth="1"/>
    <col min="13837" max="13837" width="21.28515625" style="39" customWidth="1"/>
    <col min="13838" max="13838" width="38.7109375" style="39" customWidth="1"/>
    <col min="13839" max="13839" width="8.7109375" style="39" customWidth="1"/>
    <col min="13840" max="14082" width="9" style="39"/>
    <col min="14083" max="14083" width="9.28515625" style="39" customWidth="1"/>
    <col min="14084" max="14084" width="12.28515625" style="39" customWidth="1"/>
    <col min="14085" max="14085" width="11.28515625" style="39" customWidth="1"/>
    <col min="14086" max="14086" width="9" style="39" customWidth="1"/>
    <col min="14087" max="14088" width="9" style="39"/>
    <col min="14089" max="14089" width="6.7109375" style="39" customWidth="1"/>
    <col min="14090" max="14090" width="0" style="39" hidden="1" customWidth="1"/>
    <col min="14091" max="14091" width="1.7109375" style="39" customWidth="1"/>
    <col min="14092" max="14092" width="6" style="39" customWidth="1"/>
    <col min="14093" max="14093" width="21.28515625" style="39" customWidth="1"/>
    <col min="14094" max="14094" width="38.7109375" style="39" customWidth="1"/>
    <col min="14095" max="14095" width="8.7109375" style="39" customWidth="1"/>
    <col min="14096" max="14338" width="9" style="39"/>
    <col min="14339" max="14339" width="9.28515625" style="39" customWidth="1"/>
    <col min="14340" max="14340" width="12.28515625" style="39" customWidth="1"/>
    <col min="14341" max="14341" width="11.28515625" style="39" customWidth="1"/>
    <col min="14342" max="14342" width="9" style="39" customWidth="1"/>
    <col min="14343" max="14344" width="9" style="39"/>
    <col min="14345" max="14345" width="6.7109375" style="39" customWidth="1"/>
    <col min="14346" max="14346" width="0" style="39" hidden="1" customWidth="1"/>
    <col min="14347" max="14347" width="1.7109375" style="39" customWidth="1"/>
    <col min="14348" max="14348" width="6" style="39" customWidth="1"/>
    <col min="14349" max="14349" width="21.28515625" style="39" customWidth="1"/>
    <col min="14350" max="14350" width="38.7109375" style="39" customWidth="1"/>
    <col min="14351" max="14351" width="8.7109375" style="39" customWidth="1"/>
    <col min="14352" max="14594" width="9" style="39"/>
    <col min="14595" max="14595" width="9.28515625" style="39" customWidth="1"/>
    <col min="14596" max="14596" width="12.28515625" style="39" customWidth="1"/>
    <col min="14597" max="14597" width="11.28515625" style="39" customWidth="1"/>
    <col min="14598" max="14598" width="9" style="39" customWidth="1"/>
    <col min="14599" max="14600" width="9" style="39"/>
    <col min="14601" max="14601" width="6.7109375" style="39" customWidth="1"/>
    <col min="14602" max="14602" width="0" style="39" hidden="1" customWidth="1"/>
    <col min="14603" max="14603" width="1.7109375" style="39" customWidth="1"/>
    <col min="14604" max="14604" width="6" style="39" customWidth="1"/>
    <col min="14605" max="14605" width="21.28515625" style="39" customWidth="1"/>
    <col min="14606" max="14606" width="38.7109375" style="39" customWidth="1"/>
    <col min="14607" max="14607" width="8.7109375" style="39" customWidth="1"/>
    <col min="14608" max="14850" width="9" style="39"/>
    <col min="14851" max="14851" width="9.28515625" style="39" customWidth="1"/>
    <col min="14852" max="14852" width="12.28515625" style="39" customWidth="1"/>
    <col min="14853" max="14853" width="11.28515625" style="39" customWidth="1"/>
    <col min="14854" max="14854" width="9" style="39" customWidth="1"/>
    <col min="14855" max="14856" width="9" style="39"/>
    <col min="14857" max="14857" width="6.7109375" style="39" customWidth="1"/>
    <col min="14858" max="14858" width="0" style="39" hidden="1" customWidth="1"/>
    <col min="14859" max="14859" width="1.7109375" style="39" customWidth="1"/>
    <col min="14860" max="14860" width="6" style="39" customWidth="1"/>
    <col min="14861" max="14861" width="21.28515625" style="39" customWidth="1"/>
    <col min="14862" max="14862" width="38.7109375" style="39" customWidth="1"/>
    <col min="14863" max="14863" width="8.7109375" style="39" customWidth="1"/>
    <col min="14864" max="15106" width="9" style="39"/>
    <col min="15107" max="15107" width="9.28515625" style="39" customWidth="1"/>
    <col min="15108" max="15108" width="12.28515625" style="39" customWidth="1"/>
    <col min="15109" max="15109" width="11.28515625" style="39" customWidth="1"/>
    <col min="15110" max="15110" width="9" style="39" customWidth="1"/>
    <col min="15111" max="15112" width="9" style="39"/>
    <col min="15113" max="15113" width="6.7109375" style="39" customWidth="1"/>
    <col min="15114" max="15114" width="0" style="39" hidden="1" customWidth="1"/>
    <col min="15115" max="15115" width="1.7109375" style="39" customWidth="1"/>
    <col min="15116" max="15116" width="6" style="39" customWidth="1"/>
    <col min="15117" max="15117" width="21.28515625" style="39" customWidth="1"/>
    <col min="15118" max="15118" width="38.7109375" style="39" customWidth="1"/>
    <col min="15119" max="15119" width="8.7109375" style="39" customWidth="1"/>
    <col min="15120" max="15362" width="9" style="39"/>
    <col min="15363" max="15363" width="9.28515625" style="39" customWidth="1"/>
    <col min="15364" max="15364" width="12.28515625" style="39" customWidth="1"/>
    <col min="15365" max="15365" width="11.28515625" style="39" customWidth="1"/>
    <col min="15366" max="15366" width="9" style="39" customWidth="1"/>
    <col min="15367" max="15368" width="9" style="39"/>
    <col min="15369" max="15369" width="6.7109375" style="39" customWidth="1"/>
    <col min="15370" max="15370" width="0" style="39" hidden="1" customWidth="1"/>
    <col min="15371" max="15371" width="1.7109375" style="39" customWidth="1"/>
    <col min="15372" max="15372" width="6" style="39" customWidth="1"/>
    <col min="15373" max="15373" width="21.28515625" style="39" customWidth="1"/>
    <col min="15374" max="15374" width="38.7109375" style="39" customWidth="1"/>
    <col min="15375" max="15375" width="8.7109375" style="39" customWidth="1"/>
    <col min="15376" max="15618" width="9" style="39"/>
    <col min="15619" max="15619" width="9.28515625" style="39" customWidth="1"/>
    <col min="15620" max="15620" width="12.28515625" style="39" customWidth="1"/>
    <col min="15621" max="15621" width="11.28515625" style="39" customWidth="1"/>
    <col min="15622" max="15622" width="9" style="39" customWidth="1"/>
    <col min="15623" max="15624" width="9" style="39"/>
    <col min="15625" max="15625" width="6.7109375" style="39" customWidth="1"/>
    <col min="15626" max="15626" width="0" style="39" hidden="1" customWidth="1"/>
    <col min="15627" max="15627" width="1.7109375" style="39" customWidth="1"/>
    <col min="15628" max="15628" width="6" style="39" customWidth="1"/>
    <col min="15629" max="15629" width="21.28515625" style="39" customWidth="1"/>
    <col min="15630" max="15630" width="38.7109375" style="39" customWidth="1"/>
    <col min="15631" max="15631" width="8.7109375" style="39" customWidth="1"/>
    <col min="15632" max="15874" width="9" style="39"/>
    <col min="15875" max="15875" width="9.28515625" style="39" customWidth="1"/>
    <col min="15876" max="15876" width="12.28515625" style="39" customWidth="1"/>
    <col min="15877" max="15877" width="11.28515625" style="39" customWidth="1"/>
    <col min="15878" max="15878" width="9" style="39" customWidth="1"/>
    <col min="15879" max="15880" width="9" style="39"/>
    <col min="15881" max="15881" width="6.7109375" style="39" customWidth="1"/>
    <col min="15882" max="15882" width="0" style="39" hidden="1" customWidth="1"/>
    <col min="15883" max="15883" width="1.7109375" style="39" customWidth="1"/>
    <col min="15884" max="15884" width="6" style="39" customWidth="1"/>
    <col min="15885" max="15885" width="21.28515625" style="39" customWidth="1"/>
    <col min="15886" max="15886" width="38.7109375" style="39" customWidth="1"/>
    <col min="15887" max="15887" width="8.7109375" style="39" customWidth="1"/>
    <col min="15888" max="16130" width="9" style="39"/>
    <col min="16131" max="16131" width="9.28515625" style="39" customWidth="1"/>
    <col min="16132" max="16132" width="12.28515625" style="39" customWidth="1"/>
    <col min="16133" max="16133" width="11.28515625" style="39" customWidth="1"/>
    <col min="16134" max="16134" width="9" style="39" customWidth="1"/>
    <col min="16135" max="16136" width="9" style="39"/>
    <col min="16137" max="16137" width="6.7109375" style="39" customWidth="1"/>
    <col min="16138" max="16138" width="0" style="39" hidden="1" customWidth="1"/>
    <col min="16139" max="16139" width="1.7109375" style="39" customWidth="1"/>
    <col min="16140" max="16140" width="6" style="39" customWidth="1"/>
    <col min="16141" max="16141" width="21.28515625" style="39" customWidth="1"/>
    <col min="16142" max="16142" width="38.7109375" style="39" customWidth="1"/>
    <col min="16143" max="16143" width="8.7109375" style="39" customWidth="1"/>
    <col min="16144" max="16384" width="9" style="39"/>
  </cols>
  <sheetData>
    <row r="1" spans="1:25">
      <c r="A1" s="38"/>
      <c r="B1" s="38"/>
      <c r="C1" s="38"/>
      <c r="D1" s="59"/>
      <c r="E1" s="38"/>
      <c r="F1" s="38"/>
      <c r="G1" s="38"/>
      <c r="H1" s="38"/>
      <c r="I1" s="38"/>
      <c r="J1" s="38"/>
      <c r="K1" s="38"/>
      <c r="L1" s="38"/>
      <c r="M1" s="38"/>
      <c r="N1" s="38"/>
      <c r="O1" s="38"/>
      <c r="P1" s="38"/>
    </row>
    <row r="2" spans="1:25" s="32" customFormat="1" ht="15.75">
      <c r="A2" s="38"/>
      <c r="B2" s="38"/>
      <c r="C2" s="38"/>
      <c r="D2" s="59"/>
      <c r="E2" s="38"/>
      <c r="F2" s="38"/>
      <c r="G2" s="38"/>
      <c r="H2" s="38"/>
      <c r="I2" s="38"/>
      <c r="J2" s="38"/>
      <c r="K2" s="38"/>
      <c r="L2" s="38"/>
      <c r="M2" s="11" t="s">
        <v>6</v>
      </c>
      <c r="N2" s="760" t="str">
        <f>Cover!$F$18</f>
        <v>ELM-803-FS-0001</v>
      </c>
      <c r="O2" s="761"/>
      <c r="P2" s="60"/>
    </row>
    <row r="3" spans="1:25" s="32" customFormat="1" ht="15.75">
      <c r="A3" s="38"/>
      <c r="B3" s="38"/>
      <c r="C3" s="38"/>
      <c r="D3" s="59"/>
      <c r="E3" s="38"/>
      <c r="F3" s="38"/>
      <c r="G3" s="38"/>
      <c r="H3" s="38"/>
      <c r="I3" s="38"/>
      <c r="J3" s="38"/>
      <c r="K3" s="38"/>
      <c r="L3" s="38"/>
      <c r="M3" s="14" t="s">
        <v>7</v>
      </c>
      <c r="N3" s="15" t="str">
        <f>Cover!$F$19</f>
        <v>Safety Manager</v>
      </c>
      <c r="O3" s="40" t="str">
        <f>Cover!$G$19</f>
        <v>I. Kök</v>
      </c>
      <c r="P3" s="61"/>
    </row>
    <row r="4" spans="1:25" s="32" customFormat="1" ht="15.75">
      <c r="A4" s="38"/>
      <c r="B4" s="38"/>
      <c r="C4" s="38"/>
      <c r="D4" s="59"/>
      <c r="E4" s="38"/>
      <c r="F4" s="38"/>
      <c r="G4" s="38"/>
      <c r="H4" s="38"/>
      <c r="I4" s="38"/>
      <c r="J4" s="38"/>
      <c r="K4" s="38"/>
      <c r="L4" s="38"/>
      <c r="M4" s="14" t="s">
        <v>8</v>
      </c>
      <c r="N4" s="762" t="str">
        <f>Cover!$F$20</f>
        <v>B2</v>
      </c>
      <c r="O4" s="763"/>
      <c r="P4" s="61"/>
    </row>
    <row r="5" spans="1:25" s="32" customFormat="1" ht="15.75">
      <c r="A5" s="38"/>
      <c r="B5" s="38"/>
      <c r="C5" s="38"/>
      <c r="D5" s="59"/>
      <c r="E5" s="38"/>
      <c r="F5" s="38"/>
      <c r="G5" s="38"/>
      <c r="H5" s="38"/>
      <c r="I5" s="38"/>
      <c r="J5" s="38"/>
      <c r="K5" s="38"/>
      <c r="L5" s="38"/>
      <c r="M5" s="20" t="s">
        <v>9</v>
      </c>
      <c r="N5" s="764" t="str">
        <f>Cover!$F$21</f>
        <v>approved after review</v>
      </c>
      <c r="O5" s="765"/>
      <c r="P5" s="61"/>
    </row>
    <row r="6" spans="1:25" s="32" customFormat="1">
      <c r="A6" s="38"/>
      <c r="B6" s="38"/>
      <c r="C6" s="38"/>
      <c r="D6" s="59"/>
      <c r="E6" s="38"/>
      <c r="F6" s="38"/>
      <c r="G6" s="38"/>
      <c r="H6" s="38"/>
      <c r="I6" s="38"/>
      <c r="J6" s="38"/>
      <c r="K6" s="38"/>
      <c r="L6" s="38"/>
      <c r="M6" s="38"/>
      <c r="N6" s="38"/>
      <c r="O6" s="38"/>
      <c r="P6" s="38"/>
    </row>
    <row r="7" spans="1:25" s="32" customFormat="1" ht="15.75">
      <c r="A7" s="38"/>
      <c r="B7" s="38"/>
      <c r="C7" s="38"/>
      <c r="D7" s="59"/>
      <c r="E7" s="38"/>
      <c r="F7" s="38"/>
      <c r="G7" s="38"/>
      <c r="H7" s="41"/>
      <c r="I7" s="42"/>
      <c r="J7" s="38"/>
      <c r="K7" s="38"/>
      <c r="L7" s="38"/>
      <c r="M7" s="38"/>
      <c r="N7" s="38"/>
      <c r="O7" s="38"/>
      <c r="P7" s="38"/>
      <c r="V7" s="39"/>
      <c r="W7" s="39"/>
      <c r="X7" s="39"/>
      <c r="Y7" s="39"/>
    </row>
    <row r="8" spans="1:25" s="32" customFormat="1" ht="34.5" customHeight="1">
      <c r="A8" s="810" t="s">
        <v>669</v>
      </c>
      <c r="B8" s="811"/>
      <c r="C8" s="811"/>
      <c r="D8" s="811"/>
      <c r="E8" s="811"/>
      <c r="F8" s="811"/>
      <c r="G8" s="811"/>
      <c r="H8" s="811"/>
      <c r="I8" s="811"/>
      <c r="J8" s="811"/>
      <c r="K8" s="811"/>
      <c r="L8" s="811"/>
      <c r="M8" s="811"/>
      <c r="N8" s="811"/>
      <c r="O8" s="811"/>
      <c r="P8" s="811"/>
      <c r="V8" s="39"/>
      <c r="W8" s="39"/>
      <c r="X8" s="39"/>
      <c r="Y8" s="39"/>
    </row>
    <row r="9" spans="1:25" s="32" customFormat="1" ht="19.5" customHeight="1">
      <c r="A9" s="43"/>
      <c r="B9" s="44"/>
      <c r="C9" s="44"/>
      <c r="D9" s="45"/>
      <c r="E9" s="45"/>
      <c r="F9" s="45"/>
      <c r="G9" s="46"/>
      <c r="H9" s="46"/>
      <c r="I9" s="46"/>
      <c r="J9" s="46"/>
      <c r="K9" s="46"/>
      <c r="L9" s="47"/>
      <c r="M9" s="47"/>
      <c r="N9" s="43"/>
      <c r="O9" s="43"/>
      <c r="P9" s="43"/>
      <c r="V9" s="39"/>
      <c r="W9" s="39"/>
      <c r="X9" s="39"/>
      <c r="Y9" s="39"/>
    </row>
    <row r="10" spans="1:25" s="32" customFormat="1" ht="26.25">
      <c r="A10" s="1007" t="str">
        <f>Cover!A9</f>
        <v>ID803 - Vega</v>
      </c>
      <c r="B10" s="812"/>
      <c r="C10" s="812"/>
      <c r="D10" s="812"/>
      <c r="E10" s="812"/>
      <c r="F10" s="812"/>
      <c r="G10" s="812"/>
      <c r="H10" s="812"/>
      <c r="I10" s="812"/>
      <c r="J10" s="812"/>
      <c r="K10" s="812"/>
      <c r="L10" s="812"/>
      <c r="M10" s="812"/>
      <c r="N10" s="812"/>
      <c r="O10" s="812"/>
      <c r="P10" s="813"/>
      <c r="V10" s="39"/>
      <c r="W10" s="39"/>
      <c r="X10" s="39"/>
      <c r="Y10" s="39"/>
    </row>
    <row r="11" spans="1:25">
      <c r="A11" s="62"/>
      <c r="B11" s="63"/>
      <c r="C11" s="63"/>
      <c r="D11" s="64"/>
      <c r="E11" s="63"/>
      <c r="F11" s="63"/>
      <c r="G11" s="63"/>
      <c r="H11" s="63"/>
      <c r="I11" s="63"/>
      <c r="J11" s="63"/>
      <c r="K11" s="63"/>
      <c r="L11" s="63"/>
      <c r="M11" s="63"/>
      <c r="N11" s="63"/>
      <c r="O11" s="63"/>
      <c r="P11" s="60"/>
    </row>
    <row r="12" spans="1:25" ht="17.25" customHeight="1">
      <c r="A12" s="41"/>
      <c r="B12" s="1008" t="s">
        <v>681</v>
      </c>
      <c r="C12" s="1009"/>
      <c r="D12" s="1009"/>
      <c r="E12" s="1009"/>
      <c r="F12" s="1009"/>
      <c r="G12" s="1009"/>
      <c r="H12" s="1009"/>
      <c r="I12" s="1009"/>
      <c r="J12" s="1009"/>
      <c r="K12" s="1009"/>
      <c r="L12" s="1009"/>
      <c r="M12" s="1009"/>
      <c r="N12" s="1009"/>
      <c r="O12" s="1010"/>
      <c r="P12" s="65"/>
    </row>
    <row r="13" spans="1:25" ht="28.5" customHeight="1">
      <c r="A13" s="41"/>
      <c r="B13" s="49"/>
      <c r="C13" s="50" t="s">
        <v>682</v>
      </c>
      <c r="D13" s="50" t="s">
        <v>683</v>
      </c>
      <c r="E13" s="1014" t="s">
        <v>674</v>
      </c>
      <c r="F13" s="1014"/>
      <c r="G13" s="1014"/>
      <c r="H13" s="1014"/>
      <c r="I13" s="1014"/>
      <c r="J13" s="1014"/>
      <c r="K13" s="1014"/>
      <c r="L13" s="1014" t="s">
        <v>684</v>
      </c>
      <c r="M13" s="1014"/>
      <c r="N13" s="1014" t="s">
        <v>685</v>
      </c>
      <c r="O13" s="1015"/>
      <c r="P13" s="65"/>
    </row>
    <row r="14" spans="1:25" ht="91.5" customHeight="1">
      <c r="A14" s="41"/>
      <c r="B14" s="66" t="s">
        <v>686</v>
      </c>
      <c r="C14" s="67" t="s">
        <v>687</v>
      </c>
      <c r="D14" s="56" t="s">
        <v>688</v>
      </c>
      <c r="E14" s="1011" t="s">
        <v>689</v>
      </c>
      <c r="F14" s="1011"/>
      <c r="G14" s="1011"/>
      <c r="H14" s="1011"/>
      <c r="I14" s="1011"/>
      <c r="J14" s="1011"/>
      <c r="K14" s="1011"/>
      <c r="L14" s="1012" t="s">
        <v>690</v>
      </c>
      <c r="M14" s="1012"/>
      <c r="N14" s="1012" t="s">
        <v>691</v>
      </c>
      <c r="O14" s="1013"/>
      <c r="P14" s="65"/>
    </row>
    <row r="15" spans="1:25" ht="93" customHeight="1">
      <c r="A15" s="41"/>
      <c r="B15" s="66" t="s">
        <v>692</v>
      </c>
      <c r="C15" s="67" t="s">
        <v>687</v>
      </c>
      <c r="D15" s="56" t="s">
        <v>688</v>
      </c>
      <c r="E15" s="1011" t="s">
        <v>693</v>
      </c>
      <c r="F15" s="1011"/>
      <c r="G15" s="1011"/>
      <c r="H15" s="1011"/>
      <c r="I15" s="1011"/>
      <c r="J15" s="1011"/>
      <c r="K15" s="1011"/>
      <c r="L15" s="1012" t="s">
        <v>690</v>
      </c>
      <c r="M15" s="1012"/>
      <c r="N15" s="1012" t="s">
        <v>694</v>
      </c>
      <c r="O15" s="1013"/>
      <c r="P15" s="65"/>
    </row>
    <row r="16" spans="1:25" ht="71.25" customHeight="1">
      <c r="A16" s="41"/>
      <c r="B16" s="66" t="s">
        <v>695</v>
      </c>
      <c r="C16" s="67" t="s">
        <v>687</v>
      </c>
      <c r="D16" s="56" t="s">
        <v>688</v>
      </c>
      <c r="E16" s="1011" t="s">
        <v>696</v>
      </c>
      <c r="F16" s="1011"/>
      <c r="G16" s="1011"/>
      <c r="H16" s="1011"/>
      <c r="I16" s="1011"/>
      <c r="J16" s="1011"/>
      <c r="K16" s="1011"/>
      <c r="L16" s="1012" t="s">
        <v>690</v>
      </c>
      <c r="M16" s="1012"/>
      <c r="N16" s="1012" t="s">
        <v>697</v>
      </c>
      <c r="O16" s="1013"/>
      <c r="P16" s="65"/>
    </row>
    <row r="17" spans="1:16" ht="85.5" customHeight="1">
      <c r="A17" s="41"/>
      <c r="B17" s="66" t="s">
        <v>698</v>
      </c>
      <c r="C17" s="67" t="s">
        <v>687</v>
      </c>
      <c r="D17" s="56" t="s">
        <v>688</v>
      </c>
      <c r="E17" s="1011" t="s">
        <v>699</v>
      </c>
      <c r="F17" s="1011"/>
      <c r="G17" s="1011"/>
      <c r="H17" s="1011"/>
      <c r="I17" s="1011"/>
      <c r="J17" s="1011"/>
      <c r="K17" s="1011"/>
      <c r="L17" s="1012" t="s">
        <v>690</v>
      </c>
      <c r="M17" s="1012"/>
      <c r="N17" s="1012" t="s">
        <v>700</v>
      </c>
      <c r="O17" s="1013"/>
      <c r="P17" s="65"/>
    </row>
    <row r="18" spans="1:16" ht="99.75" customHeight="1">
      <c r="A18" s="41"/>
      <c r="B18" s="66" t="s">
        <v>701</v>
      </c>
      <c r="C18" s="67" t="s">
        <v>687</v>
      </c>
      <c r="D18" s="56" t="s">
        <v>688</v>
      </c>
      <c r="E18" s="1011" t="s">
        <v>702</v>
      </c>
      <c r="F18" s="1011"/>
      <c r="G18" s="1011"/>
      <c r="H18" s="1011"/>
      <c r="I18" s="1011"/>
      <c r="J18" s="1011"/>
      <c r="K18" s="1011"/>
      <c r="L18" s="1012" t="s">
        <v>703</v>
      </c>
      <c r="M18" s="1012"/>
      <c r="N18" s="1012" t="s">
        <v>704</v>
      </c>
      <c r="O18" s="1013"/>
      <c r="P18" s="65"/>
    </row>
    <row r="19" spans="1:16" ht="71.25" customHeight="1">
      <c r="A19" s="41"/>
      <c r="B19" s="66" t="s">
        <v>705</v>
      </c>
      <c r="C19" s="67" t="s">
        <v>687</v>
      </c>
      <c r="D19" s="56" t="s">
        <v>688</v>
      </c>
      <c r="E19" s="1011" t="s">
        <v>706</v>
      </c>
      <c r="F19" s="1011"/>
      <c r="G19" s="1011"/>
      <c r="H19" s="1011"/>
      <c r="I19" s="1011"/>
      <c r="J19" s="1011"/>
      <c r="K19" s="1011"/>
      <c r="L19" s="1012" t="s">
        <v>690</v>
      </c>
      <c r="M19" s="1012"/>
      <c r="N19" s="1012" t="s">
        <v>707</v>
      </c>
      <c r="O19" s="1013"/>
      <c r="P19" s="65"/>
    </row>
    <row r="20" spans="1:16" ht="71.25" customHeight="1">
      <c r="A20" s="41"/>
      <c r="B20" s="66" t="s">
        <v>708</v>
      </c>
      <c r="C20" s="67" t="s">
        <v>687</v>
      </c>
      <c r="D20" s="56" t="s">
        <v>688</v>
      </c>
      <c r="E20" s="1011" t="s">
        <v>709</v>
      </c>
      <c r="F20" s="1011"/>
      <c r="G20" s="1011"/>
      <c r="H20" s="1011"/>
      <c r="I20" s="1011"/>
      <c r="J20" s="1011"/>
      <c r="K20" s="1011"/>
      <c r="L20" s="1012" t="s">
        <v>710</v>
      </c>
      <c r="M20" s="1012"/>
      <c r="N20" s="1012" t="s">
        <v>711</v>
      </c>
      <c r="O20" s="1013"/>
      <c r="P20" s="65"/>
    </row>
    <row r="21" spans="1:16" ht="100.5" customHeight="1">
      <c r="A21" s="38"/>
      <c r="B21" s="66" t="s">
        <v>712</v>
      </c>
      <c r="C21" s="67" t="s">
        <v>713</v>
      </c>
      <c r="D21" s="56" t="s">
        <v>714</v>
      </c>
      <c r="E21" s="1011" t="s">
        <v>715</v>
      </c>
      <c r="F21" s="1011"/>
      <c r="G21" s="1011"/>
      <c r="H21" s="1011"/>
      <c r="I21" s="1011"/>
      <c r="J21" s="1011"/>
      <c r="K21" s="1011"/>
      <c r="L21" s="1012" t="s">
        <v>716</v>
      </c>
      <c r="M21" s="1012"/>
      <c r="N21" s="1012" t="s">
        <v>717</v>
      </c>
      <c r="O21" s="1013"/>
      <c r="P21" s="65"/>
    </row>
    <row r="22" spans="1:16" ht="45">
      <c r="A22" s="38"/>
      <c r="B22" s="66" t="s">
        <v>718</v>
      </c>
      <c r="C22" s="67" t="s">
        <v>713</v>
      </c>
      <c r="D22" s="56" t="s">
        <v>714</v>
      </c>
      <c r="E22" s="1011" t="s">
        <v>889</v>
      </c>
      <c r="F22" s="1011"/>
      <c r="G22" s="1011"/>
      <c r="H22" s="1011"/>
      <c r="I22" s="1011"/>
      <c r="J22" s="1011"/>
      <c r="K22" s="1011"/>
      <c r="L22" s="1012" t="s">
        <v>719</v>
      </c>
      <c r="M22" s="1012"/>
      <c r="N22" s="1012" t="s">
        <v>720</v>
      </c>
      <c r="O22" s="1013"/>
      <c r="P22" s="65"/>
    </row>
    <row r="23" spans="1:16" ht="42.75" customHeight="1">
      <c r="A23" s="38"/>
      <c r="B23" s="66" t="s">
        <v>721</v>
      </c>
      <c r="C23" s="67" t="s">
        <v>713</v>
      </c>
      <c r="D23" s="56" t="s">
        <v>714</v>
      </c>
      <c r="E23" s="1011" t="s">
        <v>722</v>
      </c>
      <c r="F23" s="1011"/>
      <c r="G23" s="1011"/>
      <c r="H23" s="1011"/>
      <c r="I23" s="1011"/>
      <c r="J23" s="1011"/>
      <c r="K23" s="1011"/>
      <c r="L23" s="1012" t="s">
        <v>723</v>
      </c>
      <c r="M23" s="1012"/>
      <c r="N23" s="1012" t="s">
        <v>724</v>
      </c>
      <c r="O23" s="1013"/>
      <c r="P23" s="65"/>
    </row>
    <row r="24" spans="1:16" ht="57" customHeight="1">
      <c r="A24" s="38"/>
      <c r="B24" s="66" t="s">
        <v>680</v>
      </c>
      <c r="C24" s="67" t="s">
        <v>713</v>
      </c>
      <c r="D24" s="56" t="s">
        <v>714</v>
      </c>
      <c r="E24" s="1011" t="s">
        <v>725</v>
      </c>
      <c r="F24" s="1011"/>
      <c r="G24" s="1011"/>
      <c r="H24" s="1011"/>
      <c r="I24" s="1011"/>
      <c r="J24" s="1011"/>
      <c r="K24" s="1011"/>
      <c r="L24" s="1012" t="s">
        <v>726</v>
      </c>
      <c r="M24" s="1012"/>
      <c r="N24" s="1012" t="s">
        <v>727</v>
      </c>
      <c r="O24" s="1013"/>
      <c r="P24" s="65"/>
    </row>
    <row r="25" spans="1:16" ht="57" customHeight="1">
      <c r="A25" s="38"/>
      <c r="B25" s="66" t="s">
        <v>728</v>
      </c>
      <c r="C25" s="67" t="s">
        <v>729</v>
      </c>
      <c r="D25" s="56" t="s">
        <v>730</v>
      </c>
      <c r="E25" s="1011" t="s">
        <v>731</v>
      </c>
      <c r="F25" s="1011"/>
      <c r="G25" s="1011"/>
      <c r="H25" s="1011"/>
      <c r="I25" s="1011"/>
      <c r="J25" s="1011"/>
      <c r="K25" s="1011"/>
      <c r="L25" s="1012" t="s">
        <v>732</v>
      </c>
      <c r="M25" s="1012"/>
      <c r="N25" s="1012" t="s">
        <v>733</v>
      </c>
      <c r="O25" s="1013"/>
      <c r="P25" s="65"/>
    </row>
    <row r="26" spans="1:16" ht="45">
      <c r="A26" s="38"/>
      <c r="B26" s="66" t="s">
        <v>734</v>
      </c>
      <c r="C26" s="67" t="s">
        <v>729</v>
      </c>
      <c r="D26" s="56" t="s">
        <v>730</v>
      </c>
      <c r="E26" s="1011" t="s">
        <v>735</v>
      </c>
      <c r="F26" s="1011"/>
      <c r="G26" s="1011"/>
      <c r="H26" s="1011"/>
      <c r="I26" s="1011"/>
      <c r="J26" s="1011"/>
      <c r="K26" s="1011"/>
      <c r="L26" s="1012" t="s">
        <v>732</v>
      </c>
      <c r="M26" s="1012"/>
      <c r="N26" s="1012" t="s">
        <v>736</v>
      </c>
      <c r="O26" s="1013"/>
      <c r="P26" s="65"/>
    </row>
    <row r="27" spans="1:16" ht="45">
      <c r="A27" s="38"/>
      <c r="B27" s="66" t="s">
        <v>737</v>
      </c>
      <c r="C27" s="67" t="s">
        <v>729</v>
      </c>
      <c r="D27" s="56" t="s">
        <v>730</v>
      </c>
      <c r="E27" s="1011" t="s">
        <v>738</v>
      </c>
      <c r="F27" s="1011"/>
      <c r="G27" s="1011"/>
      <c r="H27" s="1011"/>
      <c r="I27" s="1011"/>
      <c r="J27" s="1011"/>
      <c r="K27" s="1011"/>
      <c r="L27" s="1012" t="s">
        <v>732</v>
      </c>
      <c r="M27" s="1012"/>
      <c r="N27" s="1012" t="s">
        <v>739</v>
      </c>
      <c r="O27" s="1013"/>
      <c r="P27" s="65"/>
    </row>
    <row r="28" spans="1:16" ht="57" customHeight="1">
      <c r="A28" s="38"/>
      <c r="B28" s="66" t="s">
        <v>740</v>
      </c>
      <c r="C28" s="67" t="s">
        <v>729</v>
      </c>
      <c r="D28" s="56" t="s">
        <v>730</v>
      </c>
      <c r="E28" s="1011" t="s">
        <v>741</v>
      </c>
      <c r="F28" s="1011"/>
      <c r="G28" s="1011"/>
      <c r="H28" s="1011"/>
      <c r="I28" s="1011"/>
      <c r="J28" s="1011"/>
      <c r="K28" s="1011"/>
      <c r="L28" s="1012" t="s">
        <v>732</v>
      </c>
      <c r="M28" s="1012"/>
      <c r="N28" s="1012" t="s">
        <v>742</v>
      </c>
      <c r="O28" s="1013"/>
      <c r="P28" s="65"/>
    </row>
    <row r="29" spans="1:16" ht="45">
      <c r="A29" s="38"/>
      <c r="B29" s="66" t="s">
        <v>743</v>
      </c>
      <c r="C29" s="67" t="s">
        <v>729</v>
      </c>
      <c r="D29" s="56" t="s">
        <v>730</v>
      </c>
      <c r="E29" s="1011" t="s">
        <v>744</v>
      </c>
      <c r="F29" s="1011"/>
      <c r="G29" s="1011"/>
      <c r="H29" s="1011"/>
      <c r="I29" s="1011"/>
      <c r="J29" s="1011"/>
      <c r="K29" s="1011"/>
      <c r="L29" s="1012" t="s">
        <v>732</v>
      </c>
      <c r="M29" s="1012"/>
      <c r="N29" s="1012" t="s">
        <v>745</v>
      </c>
      <c r="O29" s="1013"/>
      <c r="P29" s="65"/>
    </row>
    <row r="30" spans="1:16" ht="42.75" customHeight="1">
      <c r="A30" s="38"/>
      <c r="B30" s="66" t="s">
        <v>746</v>
      </c>
      <c r="C30" s="67" t="s">
        <v>729</v>
      </c>
      <c r="D30" s="56" t="s">
        <v>730</v>
      </c>
      <c r="E30" s="1011" t="s">
        <v>747</v>
      </c>
      <c r="F30" s="1011"/>
      <c r="G30" s="1011"/>
      <c r="H30" s="1011"/>
      <c r="I30" s="1011"/>
      <c r="J30" s="1011"/>
      <c r="K30" s="1011"/>
      <c r="L30" s="1012" t="s">
        <v>748</v>
      </c>
      <c r="M30" s="1012"/>
      <c r="N30" s="1012" t="s">
        <v>749</v>
      </c>
      <c r="O30" s="1013"/>
      <c r="P30" s="65"/>
    </row>
    <row r="31" spans="1:16" ht="57" customHeight="1">
      <c r="A31" s="38"/>
      <c r="B31" s="66" t="s">
        <v>750</v>
      </c>
      <c r="C31" s="67" t="s">
        <v>729</v>
      </c>
      <c r="D31" s="56" t="s">
        <v>730</v>
      </c>
      <c r="E31" s="1011" t="s">
        <v>751</v>
      </c>
      <c r="F31" s="1011"/>
      <c r="G31" s="1011"/>
      <c r="H31" s="1011"/>
      <c r="I31" s="1011"/>
      <c r="J31" s="1011"/>
      <c r="K31" s="1011"/>
      <c r="L31" s="1012" t="s">
        <v>732</v>
      </c>
      <c r="M31" s="1012"/>
      <c r="N31" s="1012" t="s">
        <v>752</v>
      </c>
      <c r="O31" s="1013"/>
      <c r="P31" s="65"/>
    </row>
    <row r="32" spans="1:16" ht="45">
      <c r="A32" s="38"/>
      <c r="B32" s="66" t="s">
        <v>753</v>
      </c>
      <c r="C32" s="67" t="s">
        <v>729</v>
      </c>
      <c r="D32" s="56" t="s">
        <v>730</v>
      </c>
      <c r="E32" s="1011" t="s">
        <v>754</v>
      </c>
      <c r="F32" s="1011"/>
      <c r="G32" s="1011"/>
      <c r="H32" s="1011"/>
      <c r="I32" s="1011"/>
      <c r="J32" s="1011"/>
      <c r="K32" s="1011"/>
      <c r="L32" s="1012" t="s">
        <v>732</v>
      </c>
      <c r="M32" s="1012"/>
      <c r="N32" s="1012" t="s">
        <v>755</v>
      </c>
      <c r="O32" s="1013"/>
      <c r="P32" s="65"/>
    </row>
    <row r="33" spans="1:16" ht="42.75" customHeight="1">
      <c r="A33" s="38"/>
      <c r="B33" s="66" t="s">
        <v>756</v>
      </c>
      <c r="C33" s="67" t="s">
        <v>729</v>
      </c>
      <c r="D33" s="56" t="s">
        <v>730</v>
      </c>
      <c r="E33" s="1011" t="s">
        <v>757</v>
      </c>
      <c r="F33" s="1011"/>
      <c r="G33" s="1011"/>
      <c r="H33" s="1011"/>
      <c r="I33" s="1011"/>
      <c r="J33" s="1011"/>
      <c r="K33" s="1011"/>
      <c r="L33" s="1012" t="s">
        <v>732</v>
      </c>
      <c r="M33" s="1012"/>
      <c r="N33" s="1012" t="s">
        <v>758</v>
      </c>
      <c r="O33" s="1013"/>
      <c r="P33" s="65"/>
    </row>
    <row r="34" spans="1:16" ht="42.75" customHeight="1">
      <c r="A34" s="38"/>
      <c r="B34" s="66" t="s">
        <v>759</v>
      </c>
      <c r="C34" s="67" t="s">
        <v>729</v>
      </c>
      <c r="D34" s="56" t="s">
        <v>730</v>
      </c>
      <c r="E34" s="1011" t="s">
        <v>760</v>
      </c>
      <c r="F34" s="1011"/>
      <c r="G34" s="1011"/>
      <c r="H34" s="1011"/>
      <c r="I34" s="1011"/>
      <c r="J34" s="1011"/>
      <c r="K34" s="1011"/>
      <c r="L34" s="1012" t="s">
        <v>732</v>
      </c>
      <c r="M34" s="1012"/>
      <c r="N34" s="1012" t="s">
        <v>758</v>
      </c>
      <c r="O34" s="1013"/>
      <c r="P34" s="65"/>
    </row>
    <row r="35" spans="1:16" ht="45">
      <c r="A35" s="38"/>
      <c r="B35" s="66" t="s">
        <v>761</v>
      </c>
      <c r="C35" s="67" t="s">
        <v>762</v>
      </c>
      <c r="D35" s="56" t="s">
        <v>763</v>
      </c>
      <c r="E35" s="1011" t="s">
        <v>764</v>
      </c>
      <c r="F35" s="1011"/>
      <c r="G35" s="1011"/>
      <c r="H35" s="1011"/>
      <c r="I35" s="1011"/>
      <c r="J35" s="1011"/>
      <c r="K35" s="1011"/>
      <c r="L35" s="1012" t="s">
        <v>816</v>
      </c>
      <c r="M35" s="1012"/>
      <c r="N35" s="1012" t="s">
        <v>765</v>
      </c>
      <c r="O35" s="1013"/>
      <c r="P35" s="65"/>
    </row>
    <row r="36" spans="1:16" ht="45">
      <c r="A36" s="38"/>
      <c r="B36" s="66" t="s">
        <v>766</v>
      </c>
      <c r="C36" s="67" t="s">
        <v>762</v>
      </c>
      <c r="D36" s="56" t="s">
        <v>763</v>
      </c>
      <c r="E36" s="1011" t="s">
        <v>767</v>
      </c>
      <c r="F36" s="1011"/>
      <c r="G36" s="1011"/>
      <c r="H36" s="1011"/>
      <c r="I36" s="1011"/>
      <c r="J36" s="1011"/>
      <c r="K36" s="1011"/>
      <c r="L36" s="1012" t="s">
        <v>816</v>
      </c>
      <c r="M36" s="1012"/>
      <c r="N36" s="1012" t="s">
        <v>765</v>
      </c>
      <c r="O36" s="1013"/>
      <c r="P36" s="65"/>
    </row>
    <row r="37" spans="1:16" ht="28.5" customHeight="1">
      <c r="A37" s="38"/>
      <c r="B37" s="66" t="s">
        <v>768</v>
      </c>
      <c r="C37" s="67" t="s">
        <v>762</v>
      </c>
      <c r="D37" s="56" t="s">
        <v>763</v>
      </c>
      <c r="E37" s="1011" t="s">
        <v>769</v>
      </c>
      <c r="F37" s="1011"/>
      <c r="G37" s="1011"/>
      <c r="H37" s="1011"/>
      <c r="I37" s="1011"/>
      <c r="J37" s="1011"/>
      <c r="K37" s="1011"/>
      <c r="L37" s="1012" t="s">
        <v>810</v>
      </c>
      <c r="M37" s="1012"/>
      <c r="N37" s="1012" t="s">
        <v>811</v>
      </c>
      <c r="O37" s="1013"/>
      <c r="P37" s="65"/>
    </row>
    <row r="38" spans="1:16" ht="28.5" customHeight="1">
      <c r="A38" s="38"/>
      <c r="B38" s="66" t="s">
        <v>770</v>
      </c>
      <c r="C38" s="67" t="s">
        <v>762</v>
      </c>
      <c r="D38" s="56" t="s">
        <v>763</v>
      </c>
      <c r="E38" s="1011" t="s">
        <v>771</v>
      </c>
      <c r="F38" s="1011"/>
      <c r="G38" s="1011"/>
      <c r="H38" s="1011"/>
      <c r="I38" s="1011"/>
      <c r="J38" s="1011"/>
      <c r="K38" s="1011"/>
      <c r="L38" s="1012" t="s">
        <v>810</v>
      </c>
      <c r="M38" s="1012"/>
      <c r="N38" s="1012" t="s">
        <v>811</v>
      </c>
      <c r="O38" s="1013"/>
      <c r="P38" s="65"/>
    </row>
    <row r="39" spans="1:16" ht="28.5" customHeight="1">
      <c r="A39" s="38"/>
      <c r="B39" s="66" t="s">
        <v>772</v>
      </c>
      <c r="C39" s="67" t="s">
        <v>762</v>
      </c>
      <c r="D39" s="56" t="s">
        <v>763</v>
      </c>
      <c r="E39" s="1011" t="s">
        <v>773</v>
      </c>
      <c r="F39" s="1011"/>
      <c r="G39" s="1011"/>
      <c r="H39" s="1011"/>
      <c r="I39" s="1011"/>
      <c r="J39" s="1011"/>
      <c r="K39" s="1011"/>
      <c r="L39" s="1012" t="s">
        <v>810</v>
      </c>
      <c r="M39" s="1012"/>
      <c r="N39" s="1012" t="s">
        <v>811</v>
      </c>
      <c r="O39" s="1013"/>
      <c r="P39" s="65"/>
    </row>
    <row r="40" spans="1:16" ht="28.5" customHeight="1">
      <c r="A40" s="38"/>
      <c r="B40" s="66" t="s">
        <v>774</v>
      </c>
      <c r="C40" s="67" t="s">
        <v>762</v>
      </c>
      <c r="D40" s="56" t="s">
        <v>763</v>
      </c>
      <c r="E40" s="1011" t="s">
        <v>775</v>
      </c>
      <c r="F40" s="1011"/>
      <c r="G40" s="1011"/>
      <c r="H40" s="1011"/>
      <c r="I40" s="1011"/>
      <c r="J40" s="1011"/>
      <c r="K40" s="1011"/>
      <c r="L40" s="1012" t="s">
        <v>776</v>
      </c>
      <c r="M40" s="1012"/>
      <c r="N40" s="1012" t="s">
        <v>777</v>
      </c>
      <c r="O40" s="1013"/>
      <c r="P40" s="65"/>
    </row>
    <row r="41" spans="1:16" ht="69.75" customHeight="1">
      <c r="A41" s="38"/>
      <c r="B41" s="66" t="s">
        <v>778</v>
      </c>
      <c r="C41" s="67" t="s">
        <v>762</v>
      </c>
      <c r="D41" s="56" t="s">
        <v>763</v>
      </c>
      <c r="E41" s="1011" t="s">
        <v>779</v>
      </c>
      <c r="F41" s="1011"/>
      <c r="G41" s="1011"/>
      <c r="H41" s="1011"/>
      <c r="I41" s="1011"/>
      <c r="J41" s="1011"/>
      <c r="K41" s="1011"/>
      <c r="L41" s="1012" t="s">
        <v>812</v>
      </c>
      <c r="M41" s="1012"/>
      <c r="N41" s="1012" t="s">
        <v>811</v>
      </c>
      <c r="O41" s="1013"/>
      <c r="P41" s="65"/>
    </row>
    <row r="42" spans="1:16" ht="42.75" customHeight="1">
      <c r="A42" s="38"/>
      <c r="B42" s="66" t="s">
        <v>780</v>
      </c>
      <c r="C42" s="67" t="s">
        <v>762</v>
      </c>
      <c r="D42" s="56" t="s">
        <v>763</v>
      </c>
      <c r="E42" s="1011" t="s">
        <v>781</v>
      </c>
      <c r="F42" s="1011"/>
      <c r="G42" s="1011"/>
      <c r="H42" s="1011"/>
      <c r="I42" s="1011"/>
      <c r="J42" s="1011"/>
      <c r="K42" s="1011"/>
      <c r="L42" s="1012" t="s">
        <v>813</v>
      </c>
      <c r="M42" s="1012"/>
      <c r="N42" s="1012" t="s">
        <v>782</v>
      </c>
      <c r="O42" s="1013"/>
      <c r="P42" s="65"/>
    </row>
    <row r="43" spans="1:16" ht="55.5" customHeight="1">
      <c r="A43" s="38"/>
      <c r="B43" s="66" t="s">
        <v>783</v>
      </c>
      <c r="C43" s="67" t="s">
        <v>762</v>
      </c>
      <c r="D43" s="56" t="s">
        <v>763</v>
      </c>
      <c r="E43" s="1011" t="s">
        <v>784</v>
      </c>
      <c r="F43" s="1011"/>
      <c r="G43" s="1011"/>
      <c r="H43" s="1011"/>
      <c r="I43" s="1011"/>
      <c r="J43" s="1011"/>
      <c r="K43" s="1011"/>
      <c r="L43" s="1012" t="s">
        <v>813</v>
      </c>
      <c r="M43" s="1012"/>
      <c r="N43" s="1012" t="s">
        <v>811</v>
      </c>
      <c r="O43" s="1013"/>
      <c r="P43" s="65"/>
    </row>
    <row r="44" spans="1:16" ht="42.75" customHeight="1">
      <c r="A44" s="38"/>
      <c r="B44" s="66" t="s">
        <v>785</v>
      </c>
      <c r="C44" s="67" t="s">
        <v>786</v>
      </c>
      <c r="D44" s="56" t="s">
        <v>787</v>
      </c>
      <c r="E44" s="1011" t="s">
        <v>788</v>
      </c>
      <c r="F44" s="1011"/>
      <c r="G44" s="1011"/>
      <c r="H44" s="1011"/>
      <c r="I44" s="1011"/>
      <c r="J44" s="1011"/>
      <c r="K44" s="1011"/>
      <c r="L44" s="1012" t="s">
        <v>814</v>
      </c>
      <c r="M44" s="1012"/>
      <c r="N44" s="1012" t="s">
        <v>815</v>
      </c>
      <c r="O44" s="1013"/>
      <c r="P44" s="65"/>
    </row>
    <row r="45" spans="1:16" ht="42.75" customHeight="1">
      <c r="A45" s="38"/>
      <c r="B45" s="66" t="s">
        <v>789</v>
      </c>
      <c r="C45" s="67" t="s">
        <v>786</v>
      </c>
      <c r="D45" s="56" t="s">
        <v>787</v>
      </c>
      <c r="E45" s="1011" t="s">
        <v>790</v>
      </c>
      <c r="F45" s="1011"/>
      <c r="G45" s="1011"/>
      <c r="H45" s="1011"/>
      <c r="I45" s="1011"/>
      <c r="J45" s="1011"/>
      <c r="K45" s="1011"/>
      <c r="L45" s="1012" t="s">
        <v>814</v>
      </c>
      <c r="M45" s="1012"/>
      <c r="N45" s="1012" t="s">
        <v>815</v>
      </c>
      <c r="O45" s="1013"/>
      <c r="P45" s="65"/>
    </row>
    <row r="46" spans="1:16" ht="69" customHeight="1">
      <c r="A46" s="38"/>
      <c r="B46" s="66" t="s">
        <v>791</v>
      </c>
      <c r="C46" s="67" t="s">
        <v>786</v>
      </c>
      <c r="D46" s="56" t="s">
        <v>787</v>
      </c>
      <c r="E46" s="1011" t="s">
        <v>792</v>
      </c>
      <c r="F46" s="1011"/>
      <c r="G46" s="1011"/>
      <c r="H46" s="1011"/>
      <c r="I46" s="1011"/>
      <c r="J46" s="1011"/>
      <c r="K46" s="1011"/>
      <c r="L46" s="1012" t="s">
        <v>776</v>
      </c>
      <c r="M46" s="1012"/>
      <c r="N46" s="1012" t="s">
        <v>776</v>
      </c>
      <c r="O46" s="1013"/>
      <c r="P46" s="65"/>
    </row>
    <row r="47" spans="1:16" ht="27" customHeight="1">
      <c r="A47" s="38"/>
      <c r="B47" s="66" t="s">
        <v>793</v>
      </c>
      <c r="C47" s="67" t="s">
        <v>786</v>
      </c>
      <c r="D47" s="56" t="s">
        <v>787</v>
      </c>
      <c r="E47" s="1011" t="s">
        <v>794</v>
      </c>
      <c r="F47" s="1011"/>
      <c r="G47" s="1011"/>
      <c r="H47" s="1011"/>
      <c r="I47" s="1011"/>
      <c r="J47" s="1011"/>
      <c r="K47" s="1011"/>
      <c r="L47" s="1012" t="s">
        <v>817</v>
      </c>
      <c r="M47" s="1012"/>
      <c r="N47" s="1012" t="s">
        <v>815</v>
      </c>
      <c r="O47" s="1013"/>
      <c r="P47" s="65"/>
    </row>
    <row r="48" spans="1:16" ht="75" customHeight="1">
      <c r="A48" s="38"/>
      <c r="B48" s="66" t="s">
        <v>795</v>
      </c>
      <c r="C48" s="67" t="s">
        <v>786</v>
      </c>
      <c r="D48" s="56" t="s">
        <v>787</v>
      </c>
      <c r="E48" s="1011" t="s">
        <v>796</v>
      </c>
      <c r="F48" s="1011"/>
      <c r="G48" s="1011"/>
      <c r="H48" s="1011"/>
      <c r="I48" s="1011"/>
      <c r="J48" s="1011"/>
      <c r="K48" s="1011"/>
      <c r="L48" s="1012" t="s">
        <v>817</v>
      </c>
      <c r="M48" s="1012"/>
      <c r="N48" s="1012" t="s">
        <v>815</v>
      </c>
      <c r="O48" s="1013"/>
      <c r="P48" s="65"/>
    </row>
    <row r="49" spans="1:16" ht="28.5" customHeight="1">
      <c r="A49" s="38"/>
      <c r="B49" s="66" t="s">
        <v>797</v>
      </c>
      <c r="C49" s="67" t="s">
        <v>798</v>
      </c>
      <c r="D49" s="56" t="s">
        <v>799</v>
      </c>
      <c r="E49" s="1011" t="s">
        <v>800</v>
      </c>
      <c r="F49" s="1011"/>
      <c r="G49" s="1011"/>
      <c r="H49" s="1011"/>
      <c r="I49" s="1011"/>
      <c r="J49" s="1011"/>
      <c r="K49" s="1011"/>
      <c r="L49" s="1012" t="s">
        <v>776</v>
      </c>
      <c r="M49" s="1012"/>
      <c r="N49" s="1012" t="s">
        <v>776</v>
      </c>
      <c r="O49" s="1013"/>
      <c r="P49" s="65"/>
    </row>
    <row r="50" spans="1:16" ht="28.5" customHeight="1">
      <c r="A50" s="38"/>
      <c r="B50" s="66" t="s">
        <v>801</v>
      </c>
      <c r="C50" s="67" t="s">
        <v>798</v>
      </c>
      <c r="D50" s="56" t="s">
        <v>799</v>
      </c>
      <c r="E50" s="1011" t="s">
        <v>802</v>
      </c>
      <c r="F50" s="1011"/>
      <c r="G50" s="1011"/>
      <c r="H50" s="1011"/>
      <c r="I50" s="1011"/>
      <c r="J50" s="1011"/>
      <c r="K50" s="1011"/>
      <c r="L50" s="1012" t="s">
        <v>776</v>
      </c>
      <c r="M50" s="1012"/>
      <c r="N50" s="1012" t="s">
        <v>776</v>
      </c>
      <c r="O50" s="1013"/>
      <c r="P50" s="65"/>
    </row>
    <row r="51" spans="1:16" ht="120" customHeight="1">
      <c r="A51" s="38"/>
      <c r="B51" s="66" t="s">
        <v>803</v>
      </c>
      <c r="C51" s="67" t="s">
        <v>798</v>
      </c>
      <c r="D51" s="56" t="s">
        <v>799</v>
      </c>
      <c r="E51" s="1011" t="s">
        <v>804</v>
      </c>
      <c r="F51" s="1011"/>
      <c r="G51" s="1011"/>
      <c r="H51" s="1011"/>
      <c r="I51" s="1011"/>
      <c r="J51" s="1011"/>
      <c r="K51" s="1011"/>
      <c r="L51" s="1012" t="s">
        <v>776</v>
      </c>
      <c r="M51" s="1012"/>
      <c r="N51" s="1012" t="s">
        <v>776</v>
      </c>
      <c r="O51" s="1013"/>
      <c r="P51" s="65"/>
    </row>
    <row r="52" spans="1:16" ht="28.5" customHeight="1">
      <c r="A52" s="38"/>
      <c r="B52" s="66" t="s">
        <v>805</v>
      </c>
      <c r="C52" s="67" t="s">
        <v>798</v>
      </c>
      <c r="D52" s="56" t="s">
        <v>799</v>
      </c>
      <c r="E52" s="1011" t="s">
        <v>806</v>
      </c>
      <c r="F52" s="1011"/>
      <c r="G52" s="1011"/>
      <c r="H52" s="1011"/>
      <c r="I52" s="1011"/>
      <c r="J52" s="1011"/>
      <c r="K52" s="1011"/>
      <c r="L52" s="1012" t="s">
        <v>776</v>
      </c>
      <c r="M52" s="1012"/>
      <c r="N52" s="1012" t="s">
        <v>776</v>
      </c>
      <c r="O52" s="1013"/>
      <c r="P52" s="65"/>
    </row>
    <row r="53" spans="1:16" ht="28.5" customHeight="1">
      <c r="A53" s="38"/>
      <c r="B53" s="68" t="s">
        <v>807</v>
      </c>
      <c r="C53" s="69" t="s">
        <v>798</v>
      </c>
      <c r="D53" s="70" t="s">
        <v>799</v>
      </c>
      <c r="E53" s="1016" t="s">
        <v>808</v>
      </c>
      <c r="F53" s="1016"/>
      <c r="G53" s="1016"/>
      <c r="H53" s="1016"/>
      <c r="I53" s="1016"/>
      <c r="J53" s="1016"/>
      <c r="K53" s="1016"/>
      <c r="L53" s="1017" t="s">
        <v>776</v>
      </c>
      <c r="M53" s="1017"/>
      <c r="N53" s="1017" t="s">
        <v>776</v>
      </c>
      <c r="O53" s="1018"/>
      <c r="P53" s="65"/>
    </row>
    <row r="54" spans="1:16" ht="28.5" customHeight="1">
      <c r="A54" s="38"/>
      <c r="B54" s="68"/>
      <c r="C54" s="69"/>
      <c r="D54" s="70"/>
      <c r="E54" s="1016"/>
      <c r="F54" s="1016"/>
      <c r="G54" s="1016"/>
      <c r="H54" s="1016"/>
      <c r="I54" s="1016"/>
      <c r="J54" s="1016"/>
      <c r="K54" s="1016"/>
      <c r="L54" s="1017"/>
      <c r="M54" s="1017"/>
      <c r="N54" s="1017"/>
      <c r="O54" s="1018"/>
      <c r="P54" s="65"/>
    </row>
    <row r="55" spans="1:16" ht="28.5" customHeight="1">
      <c r="A55" s="38"/>
      <c r="B55" s="68"/>
      <c r="C55" s="69"/>
      <c r="D55" s="70"/>
      <c r="E55" s="1016"/>
      <c r="F55" s="1016"/>
      <c r="G55" s="1016"/>
      <c r="H55" s="1016"/>
      <c r="I55" s="1016"/>
      <c r="J55" s="1016"/>
      <c r="K55" s="1016"/>
      <c r="L55" s="1017"/>
      <c r="M55" s="1017"/>
      <c r="N55" s="1017"/>
      <c r="O55" s="1018"/>
      <c r="P55" s="65"/>
    </row>
    <row r="56" spans="1:16" ht="28.5" customHeight="1">
      <c r="A56" s="38"/>
      <c r="B56" s="68"/>
      <c r="C56" s="69"/>
      <c r="D56" s="70"/>
      <c r="E56" s="1016"/>
      <c r="F56" s="1016"/>
      <c r="G56" s="1016"/>
      <c r="H56" s="1016"/>
      <c r="I56" s="1016"/>
      <c r="J56" s="1016"/>
      <c r="K56" s="1016"/>
      <c r="L56" s="1017"/>
      <c r="M56" s="1017"/>
      <c r="N56" s="1017"/>
      <c r="O56" s="1018"/>
      <c r="P56" s="65"/>
    </row>
    <row r="57" spans="1:16" ht="28.5" customHeight="1">
      <c r="A57" s="38"/>
      <c r="B57" s="68"/>
      <c r="C57" s="69"/>
      <c r="D57" s="70"/>
      <c r="E57" s="1016"/>
      <c r="F57" s="1016"/>
      <c r="G57" s="1016"/>
      <c r="H57" s="1016"/>
      <c r="I57" s="1016"/>
      <c r="J57" s="1016"/>
      <c r="K57" s="1016"/>
      <c r="L57" s="1017"/>
      <c r="M57" s="1017"/>
      <c r="N57" s="1017"/>
      <c r="O57" s="1018"/>
      <c r="P57" s="65"/>
    </row>
    <row r="58" spans="1:16" ht="28.5" customHeight="1">
      <c r="A58" s="38"/>
      <c r="B58" s="68"/>
      <c r="C58" s="69"/>
      <c r="D58" s="70"/>
      <c r="E58" s="1016"/>
      <c r="F58" s="1016"/>
      <c r="G58" s="1016"/>
      <c r="H58" s="1016"/>
      <c r="I58" s="1016"/>
      <c r="J58" s="1016"/>
      <c r="K58" s="1016"/>
      <c r="L58" s="1017"/>
      <c r="M58" s="1017"/>
      <c r="N58" s="1017"/>
      <c r="O58" s="1018"/>
      <c r="P58" s="65"/>
    </row>
    <row r="59" spans="1:16" ht="28.5" customHeight="1">
      <c r="A59" s="38"/>
      <c r="B59" s="68"/>
      <c r="C59" s="69"/>
      <c r="D59" s="70"/>
      <c r="E59" s="1016"/>
      <c r="F59" s="1016"/>
      <c r="G59" s="1016"/>
      <c r="H59" s="1016"/>
      <c r="I59" s="1016"/>
      <c r="J59" s="1016"/>
      <c r="K59" s="1016"/>
      <c r="L59" s="1017"/>
      <c r="M59" s="1017"/>
      <c r="N59" s="1017"/>
      <c r="O59" s="1018"/>
      <c r="P59" s="65"/>
    </row>
    <row r="60" spans="1:16">
      <c r="A60" s="38"/>
      <c r="B60" s="60"/>
      <c r="C60" s="60"/>
      <c r="D60" s="71"/>
      <c r="E60" s="60"/>
      <c r="F60" s="60"/>
      <c r="G60" s="60"/>
      <c r="H60" s="60"/>
      <c r="I60" s="60"/>
      <c r="J60" s="60"/>
      <c r="K60" s="60"/>
      <c r="L60" s="60"/>
      <c r="M60" s="60"/>
      <c r="N60" s="60"/>
      <c r="O60" s="60"/>
      <c r="P60" s="60"/>
    </row>
  </sheetData>
  <mergeCells count="147">
    <mergeCell ref="E59:K59"/>
    <mergeCell ref="L59:M59"/>
    <mergeCell ref="N59:O59"/>
    <mergeCell ref="E57:K57"/>
    <mergeCell ref="L57:M57"/>
    <mergeCell ref="N57:O57"/>
    <mergeCell ref="E58:K58"/>
    <mergeCell ref="L58:M58"/>
    <mergeCell ref="N58:O58"/>
    <mergeCell ref="E55:K55"/>
    <mergeCell ref="L55:M55"/>
    <mergeCell ref="N55:O55"/>
    <mergeCell ref="E56:K56"/>
    <mergeCell ref="L56:M56"/>
    <mergeCell ref="N56:O56"/>
    <mergeCell ref="E53:K53"/>
    <mergeCell ref="L53:M53"/>
    <mergeCell ref="N53:O53"/>
    <mergeCell ref="E54:K54"/>
    <mergeCell ref="L54:M54"/>
    <mergeCell ref="N54:O54"/>
    <mergeCell ref="E51:K51"/>
    <mergeCell ref="L51:M51"/>
    <mergeCell ref="N51:O51"/>
    <mergeCell ref="E52:K52"/>
    <mergeCell ref="L52:M52"/>
    <mergeCell ref="N52:O52"/>
    <mergeCell ref="E49:K49"/>
    <mergeCell ref="L49:M49"/>
    <mergeCell ref="N49:O49"/>
    <mergeCell ref="E50:K50"/>
    <mergeCell ref="L50:M50"/>
    <mergeCell ref="N50:O50"/>
    <mergeCell ref="E47:K47"/>
    <mergeCell ref="L47:M47"/>
    <mergeCell ref="N47:O47"/>
    <mergeCell ref="E48:K48"/>
    <mergeCell ref="L48:M48"/>
    <mergeCell ref="N48:O48"/>
    <mergeCell ref="E45:K45"/>
    <mergeCell ref="L45:M45"/>
    <mergeCell ref="N45:O45"/>
    <mergeCell ref="E46:K46"/>
    <mergeCell ref="L46:M46"/>
    <mergeCell ref="N46:O46"/>
    <mergeCell ref="E43:K43"/>
    <mergeCell ref="L43:M43"/>
    <mergeCell ref="N43:O43"/>
    <mergeCell ref="E44:K44"/>
    <mergeCell ref="L44:M44"/>
    <mergeCell ref="N44:O44"/>
    <mergeCell ref="E41:K41"/>
    <mergeCell ref="L41:M41"/>
    <mergeCell ref="N41:O41"/>
    <mergeCell ref="E42:K42"/>
    <mergeCell ref="L42:M42"/>
    <mergeCell ref="N42:O42"/>
    <mergeCell ref="E39:K39"/>
    <mergeCell ref="L39:M39"/>
    <mergeCell ref="N39:O39"/>
    <mergeCell ref="E40:K40"/>
    <mergeCell ref="L40:M40"/>
    <mergeCell ref="N40:O40"/>
    <mergeCell ref="E37:K37"/>
    <mergeCell ref="L37:M37"/>
    <mergeCell ref="N37:O37"/>
    <mergeCell ref="E38:K38"/>
    <mergeCell ref="L38:M38"/>
    <mergeCell ref="N38:O38"/>
    <mergeCell ref="E35:K35"/>
    <mergeCell ref="L35:M35"/>
    <mergeCell ref="N35:O35"/>
    <mergeCell ref="E36:K36"/>
    <mergeCell ref="L36:M36"/>
    <mergeCell ref="N36:O36"/>
    <mergeCell ref="E33:K33"/>
    <mergeCell ref="L33:M33"/>
    <mergeCell ref="N33:O33"/>
    <mergeCell ref="E34:K34"/>
    <mergeCell ref="L34:M34"/>
    <mergeCell ref="N34:O34"/>
    <mergeCell ref="E31:K31"/>
    <mergeCell ref="L31:M31"/>
    <mergeCell ref="N31:O31"/>
    <mergeCell ref="E32:K32"/>
    <mergeCell ref="L32:M32"/>
    <mergeCell ref="N32:O32"/>
    <mergeCell ref="E29:K29"/>
    <mergeCell ref="L29:M29"/>
    <mergeCell ref="N29:O29"/>
    <mergeCell ref="E30:K30"/>
    <mergeCell ref="L30:M30"/>
    <mergeCell ref="N30:O30"/>
    <mergeCell ref="E27:K27"/>
    <mergeCell ref="L27:M27"/>
    <mergeCell ref="N27:O27"/>
    <mergeCell ref="E28:K28"/>
    <mergeCell ref="L28:M28"/>
    <mergeCell ref="N28:O28"/>
    <mergeCell ref="E25:K25"/>
    <mergeCell ref="L25:M25"/>
    <mergeCell ref="N25:O25"/>
    <mergeCell ref="E26:K26"/>
    <mergeCell ref="L26:M26"/>
    <mergeCell ref="N26:O26"/>
    <mergeCell ref="E23:K23"/>
    <mergeCell ref="L23:M23"/>
    <mergeCell ref="N23:O23"/>
    <mergeCell ref="E24:K24"/>
    <mergeCell ref="L24:M24"/>
    <mergeCell ref="N24:O24"/>
    <mergeCell ref="E21:K21"/>
    <mergeCell ref="L21:M21"/>
    <mergeCell ref="N21:O21"/>
    <mergeCell ref="E22:K22"/>
    <mergeCell ref="L22:M22"/>
    <mergeCell ref="N22:O22"/>
    <mergeCell ref="E19:K19"/>
    <mergeCell ref="L19:M19"/>
    <mergeCell ref="N19:O19"/>
    <mergeCell ref="E20:K20"/>
    <mergeCell ref="L20:M20"/>
    <mergeCell ref="N20:O20"/>
    <mergeCell ref="E17:K17"/>
    <mergeCell ref="L17:M17"/>
    <mergeCell ref="N17:O17"/>
    <mergeCell ref="E18:K18"/>
    <mergeCell ref="L18:M18"/>
    <mergeCell ref="N18:O18"/>
    <mergeCell ref="E16:K16"/>
    <mergeCell ref="L16:M16"/>
    <mergeCell ref="N16:O16"/>
    <mergeCell ref="E13:K13"/>
    <mergeCell ref="L13:M13"/>
    <mergeCell ref="N13:O13"/>
    <mergeCell ref="E14:K14"/>
    <mergeCell ref="L14:M14"/>
    <mergeCell ref="N14:O14"/>
    <mergeCell ref="N2:O2"/>
    <mergeCell ref="N4:O4"/>
    <mergeCell ref="N5:O5"/>
    <mergeCell ref="A8:P8"/>
    <mergeCell ref="A10:P10"/>
    <mergeCell ref="B12:O12"/>
    <mergeCell ref="E15:K15"/>
    <mergeCell ref="L15:M15"/>
    <mergeCell ref="N15:O15"/>
  </mergeCells>
  <phoneticPr fontId="3" type="noConversion"/>
  <pageMargins left="0.7" right="0.7" top="0.75" bottom="0.75" header="0.3" footer="0.3"/>
  <pageSetup paperSize="9" scale="31" orientation="portrait" horizontalDpi="300" verticalDpi="90" r:id="rId1"/>
  <headerFooter>
    <oddHeader>&amp;C&amp;G</oddHeader>
    <oddFooter>&amp;C&amp;1#&amp;"맑은 고딕"&amp;6&amp;K737373관 윤 / 1628679@mobis.co.kr / 본 문서는 현대모비스의 대외비 정보자산이므로 무단 전재 및 복제할 수 없으며, 위반 시 당사 사규 및 관련 법규에 의해 제재될 수 있습니다.</oddFooter>
  </headerFooter>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Y100"/>
  <sheetViews>
    <sheetView topLeftCell="E40" zoomScale="115" zoomScaleNormal="115" zoomScaleSheetLayoutView="115" workbookViewId="0">
      <selection activeCell="P69" sqref="P69"/>
    </sheetView>
  </sheetViews>
  <sheetFormatPr defaultColWidth="8.7109375" defaultRowHeight="15"/>
  <cols>
    <col min="1" max="1" width="4.28515625" style="32" customWidth="1"/>
    <col min="2" max="2" width="6.7109375" style="32" bestFit="1" customWidth="1"/>
    <col min="3" max="3" width="16.140625" style="32" customWidth="1"/>
    <col min="4" max="4" width="9.28515625" style="32" bestFit="1" customWidth="1"/>
    <col min="5" max="5" width="93.7109375" style="32" bestFit="1" customWidth="1"/>
    <col min="6" max="6" width="10.42578125" style="32" customWidth="1"/>
    <col min="7" max="7" width="17.28515625" style="32" customWidth="1"/>
    <col min="8" max="9" width="8.7109375" style="32" customWidth="1"/>
    <col min="10" max="10" width="2.7109375" style="32" customWidth="1"/>
    <col min="11" max="11" width="54.7109375" style="32" customWidth="1"/>
    <col min="12" max="13" width="8.7109375" style="32" customWidth="1"/>
    <col min="14" max="14" width="14.42578125" style="32" customWidth="1"/>
    <col min="15" max="15" width="5.7109375" style="32" customWidth="1"/>
    <col min="16" max="16" width="33.28515625" style="32" bestFit="1" customWidth="1"/>
    <col min="17" max="17" width="18.85546875" style="32" customWidth="1"/>
    <col min="18" max="18" width="20" style="32" customWidth="1"/>
    <col min="19" max="19" width="7.7109375" style="32" customWidth="1"/>
    <col min="20" max="20" width="5.7109375" style="32" customWidth="1"/>
    <col min="21" max="257" width="9" style="32"/>
    <col min="258" max="258" width="11.7109375" style="32" customWidth="1"/>
    <col min="259" max="259" width="16.7109375" style="32" customWidth="1"/>
    <col min="260" max="260" width="19.140625" style="32" customWidth="1"/>
    <col min="261" max="261" width="12.28515625" style="32" customWidth="1"/>
    <col min="262" max="262" width="9" style="32"/>
    <col min="263" max="263" width="12.42578125" style="32" customWidth="1"/>
    <col min="264" max="265" width="8.7109375" style="32" customWidth="1"/>
    <col min="266" max="266" width="2.7109375" style="32" customWidth="1"/>
    <col min="267" max="267" width="33.140625" style="32" customWidth="1"/>
    <col min="268" max="269" width="8.7109375" style="32" customWidth="1"/>
    <col min="270" max="270" width="27.140625" style="32" customWidth="1"/>
    <col min="271" max="271" width="11.7109375" style="32" customWidth="1"/>
    <col min="272" max="272" width="13.28515625" style="32" customWidth="1"/>
    <col min="273" max="273" width="17.28515625" style="32" customWidth="1"/>
    <col min="274" max="274" width="20.7109375" style="32" customWidth="1"/>
    <col min="275" max="275" width="19.140625" style="32" customWidth="1"/>
    <col min="276" max="513" width="9" style="32"/>
    <col min="514" max="514" width="11.7109375" style="32" customWidth="1"/>
    <col min="515" max="515" width="16.7109375" style="32" customWidth="1"/>
    <col min="516" max="516" width="19.140625" style="32" customWidth="1"/>
    <col min="517" max="517" width="12.28515625" style="32" customWidth="1"/>
    <col min="518" max="518" width="9" style="32"/>
    <col min="519" max="519" width="12.42578125" style="32" customWidth="1"/>
    <col min="520" max="521" width="8.7109375" style="32" customWidth="1"/>
    <col min="522" max="522" width="2.7109375" style="32" customWidth="1"/>
    <col min="523" max="523" width="33.140625" style="32" customWidth="1"/>
    <col min="524" max="525" width="8.7109375" style="32" customWidth="1"/>
    <col min="526" max="526" width="27.140625" style="32" customWidth="1"/>
    <col min="527" max="527" width="11.7109375" style="32" customWidth="1"/>
    <col min="528" max="528" width="13.28515625" style="32" customWidth="1"/>
    <col min="529" max="529" width="17.28515625" style="32" customWidth="1"/>
    <col min="530" max="530" width="20.7109375" style="32" customWidth="1"/>
    <col min="531" max="531" width="19.140625" style="32" customWidth="1"/>
    <col min="532" max="769" width="9" style="32"/>
    <col min="770" max="770" width="11.7109375" style="32" customWidth="1"/>
    <col min="771" max="771" width="16.7109375" style="32" customWidth="1"/>
    <col min="772" max="772" width="19.140625" style="32" customWidth="1"/>
    <col min="773" max="773" width="12.28515625" style="32" customWidth="1"/>
    <col min="774" max="774" width="9" style="32"/>
    <col min="775" max="775" width="12.42578125" style="32" customWidth="1"/>
    <col min="776" max="777" width="8.7109375" style="32" customWidth="1"/>
    <col min="778" max="778" width="2.7109375" style="32" customWidth="1"/>
    <col min="779" max="779" width="33.140625" style="32" customWidth="1"/>
    <col min="780" max="781" width="8.7109375" style="32" customWidth="1"/>
    <col min="782" max="782" width="27.140625" style="32" customWidth="1"/>
    <col min="783" max="783" width="11.7109375" style="32" customWidth="1"/>
    <col min="784" max="784" width="13.28515625" style="32" customWidth="1"/>
    <col min="785" max="785" width="17.28515625" style="32" customWidth="1"/>
    <col min="786" max="786" width="20.7109375" style="32" customWidth="1"/>
    <col min="787" max="787" width="19.140625" style="32" customWidth="1"/>
    <col min="788" max="1025" width="9" style="32"/>
    <col min="1026" max="1026" width="11.7109375" style="32" customWidth="1"/>
    <col min="1027" max="1027" width="16.7109375" style="32" customWidth="1"/>
    <col min="1028" max="1028" width="19.140625" style="32" customWidth="1"/>
    <col min="1029" max="1029" width="12.28515625" style="32" customWidth="1"/>
    <col min="1030" max="1030" width="9" style="32"/>
    <col min="1031" max="1031" width="12.42578125" style="32" customWidth="1"/>
    <col min="1032" max="1033" width="8.7109375" style="32" customWidth="1"/>
    <col min="1034" max="1034" width="2.7109375" style="32" customWidth="1"/>
    <col min="1035" max="1035" width="33.140625" style="32" customWidth="1"/>
    <col min="1036" max="1037" width="8.7109375" style="32" customWidth="1"/>
    <col min="1038" max="1038" width="27.140625" style="32" customWidth="1"/>
    <col min="1039" max="1039" width="11.7109375" style="32" customWidth="1"/>
    <col min="1040" max="1040" width="13.28515625" style="32" customWidth="1"/>
    <col min="1041" max="1041" width="17.28515625" style="32" customWidth="1"/>
    <col min="1042" max="1042" width="20.7109375" style="32" customWidth="1"/>
    <col min="1043" max="1043" width="19.140625" style="32" customWidth="1"/>
    <col min="1044" max="1281" width="9" style="32"/>
    <col min="1282" max="1282" width="11.7109375" style="32" customWidth="1"/>
    <col min="1283" max="1283" width="16.7109375" style="32" customWidth="1"/>
    <col min="1284" max="1284" width="19.140625" style="32" customWidth="1"/>
    <col min="1285" max="1285" width="12.28515625" style="32" customWidth="1"/>
    <col min="1286" max="1286" width="9" style="32"/>
    <col min="1287" max="1287" width="12.42578125" style="32" customWidth="1"/>
    <col min="1288" max="1289" width="8.7109375" style="32" customWidth="1"/>
    <col min="1290" max="1290" width="2.7109375" style="32" customWidth="1"/>
    <col min="1291" max="1291" width="33.140625" style="32" customWidth="1"/>
    <col min="1292" max="1293" width="8.7109375" style="32" customWidth="1"/>
    <col min="1294" max="1294" width="27.140625" style="32" customWidth="1"/>
    <col min="1295" max="1295" width="11.7109375" style="32" customWidth="1"/>
    <col min="1296" max="1296" width="13.28515625" style="32" customWidth="1"/>
    <col min="1297" max="1297" width="17.28515625" style="32" customWidth="1"/>
    <col min="1298" max="1298" width="20.7109375" style="32" customWidth="1"/>
    <col min="1299" max="1299" width="19.140625" style="32" customWidth="1"/>
    <col min="1300" max="1537" width="9" style="32"/>
    <col min="1538" max="1538" width="11.7109375" style="32" customWidth="1"/>
    <col min="1539" max="1539" width="16.7109375" style="32" customWidth="1"/>
    <col min="1540" max="1540" width="19.140625" style="32" customWidth="1"/>
    <col min="1541" max="1541" width="12.28515625" style="32" customWidth="1"/>
    <col min="1542" max="1542" width="9" style="32"/>
    <col min="1543" max="1543" width="12.42578125" style="32" customWidth="1"/>
    <col min="1544" max="1545" width="8.7109375" style="32" customWidth="1"/>
    <col min="1546" max="1546" width="2.7109375" style="32" customWidth="1"/>
    <col min="1547" max="1547" width="33.140625" style="32" customWidth="1"/>
    <col min="1548" max="1549" width="8.7109375" style="32" customWidth="1"/>
    <col min="1550" max="1550" width="27.140625" style="32" customWidth="1"/>
    <col min="1551" max="1551" width="11.7109375" style="32" customWidth="1"/>
    <col min="1552" max="1552" width="13.28515625" style="32" customWidth="1"/>
    <col min="1553" max="1553" width="17.28515625" style="32" customWidth="1"/>
    <col min="1554" max="1554" width="20.7109375" style="32" customWidth="1"/>
    <col min="1555" max="1555" width="19.140625" style="32" customWidth="1"/>
    <col min="1556" max="1793" width="9" style="32"/>
    <col min="1794" max="1794" width="11.7109375" style="32" customWidth="1"/>
    <col min="1795" max="1795" width="16.7109375" style="32" customWidth="1"/>
    <col min="1796" max="1796" width="19.140625" style="32" customWidth="1"/>
    <col min="1797" max="1797" width="12.28515625" style="32" customWidth="1"/>
    <col min="1798" max="1798" width="9" style="32"/>
    <col min="1799" max="1799" width="12.42578125" style="32" customWidth="1"/>
    <col min="1800" max="1801" width="8.7109375" style="32" customWidth="1"/>
    <col min="1802" max="1802" width="2.7109375" style="32" customWidth="1"/>
    <col min="1803" max="1803" width="33.140625" style="32" customWidth="1"/>
    <col min="1804" max="1805" width="8.7109375" style="32" customWidth="1"/>
    <col min="1806" max="1806" width="27.140625" style="32" customWidth="1"/>
    <col min="1807" max="1807" width="11.7109375" style="32" customWidth="1"/>
    <col min="1808" max="1808" width="13.28515625" style="32" customWidth="1"/>
    <col min="1809" max="1809" width="17.28515625" style="32" customWidth="1"/>
    <col min="1810" max="1810" width="20.7109375" style="32" customWidth="1"/>
    <col min="1811" max="1811" width="19.140625" style="32" customWidth="1"/>
    <col min="1812" max="2049" width="9" style="32"/>
    <col min="2050" max="2050" width="11.7109375" style="32" customWidth="1"/>
    <col min="2051" max="2051" width="16.7109375" style="32" customWidth="1"/>
    <col min="2052" max="2052" width="19.140625" style="32" customWidth="1"/>
    <col min="2053" max="2053" width="12.28515625" style="32" customWidth="1"/>
    <col min="2054" max="2054" width="9" style="32"/>
    <col min="2055" max="2055" width="12.42578125" style="32" customWidth="1"/>
    <col min="2056" max="2057" width="8.7109375" style="32" customWidth="1"/>
    <col min="2058" max="2058" width="2.7109375" style="32" customWidth="1"/>
    <col min="2059" max="2059" width="33.140625" style="32" customWidth="1"/>
    <col min="2060" max="2061" width="8.7109375" style="32" customWidth="1"/>
    <col min="2062" max="2062" width="27.140625" style="32" customWidth="1"/>
    <col min="2063" max="2063" width="11.7109375" style="32" customWidth="1"/>
    <col min="2064" max="2064" width="13.28515625" style="32" customWidth="1"/>
    <col min="2065" max="2065" width="17.28515625" style="32" customWidth="1"/>
    <col min="2066" max="2066" width="20.7109375" style="32" customWidth="1"/>
    <col min="2067" max="2067" width="19.140625" style="32" customWidth="1"/>
    <col min="2068" max="2305" width="9" style="32"/>
    <col min="2306" max="2306" width="11.7109375" style="32" customWidth="1"/>
    <col min="2307" max="2307" width="16.7109375" style="32" customWidth="1"/>
    <col min="2308" max="2308" width="19.140625" style="32" customWidth="1"/>
    <col min="2309" max="2309" width="12.28515625" style="32" customWidth="1"/>
    <col min="2310" max="2310" width="9" style="32"/>
    <col min="2311" max="2311" width="12.42578125" style="32" customWidth="1"/>
    <col min="2312" max="2313" width="8.7109375" style="32" customWidth="1"/>
    <col min="2314" max="2314" width="2.7109375" style="32" customWidth="1"/>
    <col min="2315" max="2315" width="33.140625" style="32" customWidth="1"/>
    <col min="2316" max="2317" width="8.7109375" style="32" customWidth="1"/>
    <col min="2318" max="2318" width="27.140625" style="32" customWidth="1"/>
    <col min="2319" max="2319" width="11.7109375" style="32" customWidth="1"/>
    <col min="2320" max="2320" width="13.28515625" style="32" customWidth="1"/>
    <col min="2321" max="2321" width="17.28515625" style="32" customWidth="1"/>
    <col min="2322" max="2322" width="20.7109375" style="32" customWidth="1"/>
    <col min="2323" max="2323" width="19.140625" style="32" customWidth="1"/>
    <col min="2324" max="2561" width="9" style="32"/>
    <col min="2562" max="2562" width="11.7109375" style="32" customWidth="1"/>
    <col min="2563" max="2563" width="16.7109375" style="32" customWidth="1"/>
    <col min="2564" max="2564" width="19.140625" style="32" customWidth="1"/>
    <col min="2565" max="2565" width="12.28515625" style="32" customWidth="1"/>
    <col min="2566" max="2566" width="9" style="32"/>
    <col min="2567" max="2567" width="12.42578125" style="32" customWidth="1"/>
    <col min="2568" max="2569" width="8.7109375" style="32" customWidth="1"/>
    <col min="2570" max="2570" width="2.7109375" style="32" customWidth="1"/>
    <col min="2571" max="2571" width="33.140625" style="32" customWidth="1"/>
    <col min="2572" max="2573" width="8.7109375" style="32" customWidth="1"/>
    <col min="2574" max="2574" width="27.140625" style="32" customWidth="1"/>
    <col min="2575" max="2575" width="11.7109375" style="32" customWidth="1"/>
    <col min="2576" max="2576" width="13.28515625" style="32" customWidth="1"/>
    <col min="2577" max="2577" width="17.28515625" style="32" customWidth="1"/>
    <col min="2578" max="2578" width="20.7109375" style="32" customWidth="1"/>
    <col min="2579" max="2579" width="19.140625" style="32" customWidth="1"/>
    <col min="2580" max="2817" width="9" style="32"/>
    <col min="2818" max="2818" width="11.7109375" style="32" customWidth="1"/>
    <col min="2819" max="2819" width="16.7109375" style="32" customWidth="1"/>
    <col min="2820" max="2820" width="19.140625" style="32" customWidth="1"/>
    <col min="2821" max="2821" width="12.28515625" style="32" customWidth="1"/>
    <col min="2822" max="2822" width="9" style="32"/>
    <col min="2823" max="2823" width="12.42578125" style="32" customWidth="1"/>
    <col min="2824" max="2825" width="8.7109375" style="32" customWidth="1"/>
    <col min="2826" max="2826" width="2.7109375" style="32" customWidth="1"/>
    <col min="2827" max="2827" width="33.140625" style="32" customWidth="1"/>
    <col min="2828" max="2829" width="8.7109375" style="32" customWidth="1"/>
    <col min="2830" max="2830" width="27.140625" style="32" customWidth="1"/>
    <col min="2831" max="2831" width="11.7109375" style="32" customWidth="1"/>
    <col min="2832" max="2832" width="13.28515625" style="32" customWidth="1"/>
    <col min="2833" max="2833" width="17.28515625" style="32" customWidth="1"/>
    <col min="2834" max="2834" width="20.7109375" style="32" customWidth="1"/>
    <col min="2835" max="2835" width="19.140625" style="32" customWidth="1"/>
    <col min="2836" max="3073" width="9" style="32"/>
    <col min="3074" max="3074" width="11.7109375" style="32" customWidth="1"/>
    <col min="3075" max="3075" width="16.7109375" style="32" customWidth="1"/>
    <col min="3076" max="3076" width="19.140625" style="32" customWidth="1"/>
    <col min="3077" max="3077" width="12.28515625" style="32" customWidth="1"/>
    <col min="3078" max="3078" width="9" style="32"/>
    <col min="3079" max="3079" width="12.42578125" style="32" customWidth="1"/>
    <col min="3080" max="3081" width="8.7109375" style="32" customWidth="1"/>
    <col min="3082" max="3082" width="2.7109375" style="32" customWidth="1"/>
    <col min="3083" max="3083" width="33.140625" style="32" customWidth="1"/>
    <col min="3084" max="3085" width="8.7109375" style="32" customWidth="1"/>
    <col min="3086" max="3086" width="27.140625" style="32" customWidth="1"/>
    <col min="3087" max="3087" width="11.7109375" style="32" customWidth="1"/>
    <col min="3088" max="3088" width="13.28515625" style="32" customWidth="1"/>
    <col min="3089" max="3089" width="17.28515625" style="32" customWidth="1"/>
    <col min="3090" max="3090" width="20.7109375" style="32" customWidth="1"/>
    <col min="3091" max="3091" width="19.140625" style="32" customWidth="1"/>
    <col min="3092" max="3329" width="9" style="32"/>
    <col min="3330" max="3330" width="11.7109375" style="32" customWidth="1"/>
    <col min="3331" max="3331" width="16.7109375" style="32" customWidth="1"/>
    <col min="3332" max="3332" width="19.140625" style="32" customWidth="1"/>
    <col min="3333" max="3333" width="12.28515625" style="32" customWidth="1"/>
    <col min="3334" max="3334" width="9" style="32"/>
    <col min="3335" max="3335" width="12.42578125" style="32" customWidth="1"/>
    <col min="3336" max="3337" width="8.7109375" style="32" customWidth="1"/>
    <col min="3338" max="3338" width="2.7109375" style="32" customWidth="1"/>
    <col min="3339" max="3339" width="33.140625" style="32" customWidth="1"/>
    <col min="3340" max="3341" width="8.7109375" style="32" customWidth="1"/>
    <col min="3342" max="3342" width="27.140625" style="32" customWidth="1"/>
    <col min="3343" max="3343" width="11.7109375" style="32" customWidth="1"/>
    <col min="3344" max="3344" width="13.28515625" style="32" customWidth="1"/>
    <col min="3345" max="3345" width="17.28515625" style="32" customWidth="1"/>
    <col min="3346" max="3346" width="20.7109375" style="32" customWidth="1"/>
    <col min="3347" max="3347" width="19.140625" style="32" customWidth="1"/>
    <col min="3348" max="3585" width="9" style="32"/>
    <col min="3586" max="3586" width="11.7109375" style="32" customWidth="1"/>
    <col min="3587" max="3587" width="16.7109375" style="32" customWidth="1"/>
    <col min="3588" max="3588" width="19.140625" style="32" customWidth="1"/>
    <col min="3589" max="3589" width="12.28515625" style="32" customWidth="1"/>
    <col min="3590" max="3590" width="9" style="32"/>
    <col min="3591" max="3591" width="12.42578125" style="32" customWidth="1"/>
    <col min="3592" max="3593" width="8.7109375" style="32" customWidth="1"/>
    <col min="3594" max="3594" width="2.7109375" style="32" customWidth="1"/>
    <col min="3595" max="3595" width="33.140625" style="32" customWidth="1"/>
    <col min="3596" max="3597" width="8.7109375" style="32" customWidth="1"/>
    <col min="3598" max="3598" width="27.140625" style="32" customWidth="1"/>
    <col min="3599" max="3599" width="11.7109375" style="32" customWidth="1"/>
    <col min="3600" max="3600" width="13.28515625" style="32" customWidth="1"/>
    <col min="3601" max="3601" width="17.28515625" style="32" customWidth="1"/>
    <col min="3602" max="3602" width="20.7109375" style="32" customWidth="1"/>
    <col min="3603" max="3603" width="19.140625" style="32" customWidth="1"/>
    <col min="3604" max="3841" width="9" style="32"/>
    <col min="3842" max="3842" width="11.7109375" style="32" customWidth="1"/>
    <col min="3843" max="3843" width="16.7109375" style="32" customWidth="1"/>
    <col min="3844" max="3844" width="19.140625" style="32" customWidth="1"/>
    <col min="3845" max="3845" width="12.28515625" style="32" customWidth="1"/>
    <col min="3846" max="3846" width="9" style="32"/>
    <col min="3847" max="3847" width="12.42578125" style="32" customWidth="1"/>
    <col min="3848" max="3849" width="8.7109375" style="32" customWidth="1"/>
    <col min="3850" max="3850" width="2.7109375" style="32" customWidth="1"/>
    <col min="3851" max="3851" width="33.140625" style="32" customWidth="1"/>
    <col min="3852" max="3853" width="8.7109375" style="32" customWidth="1"/>
    <col min="3854" max="3854" width="27.140625" style="32" customWidth="1"/>
    <col min="3855" max="3855" width="11.7109375" style="32" customWidth="1"/>
    <col min="3856" max="3856" width="13.28515625" style="32" customWidth="1"/>
    <col min="3857" max="3857" width="17.28515625" style="32" customWidth="1"/>
    <col min="3858" max="3858" width="20.7109375" style="32" customWidth="1"/>
    <col min="3859" max="3859" width="19.140625" style="32" customWidth="1"/>
    <col min="3860" max="4097" width="9" style="32"/>
    <col min="4098" max="4098" width="11.7109375" style="32" customWidth="1"/>
    <col min="4099" max="4099" width="16.7109375" style="32" customWidth="1"/>
    <col min="4100" max="4100" width="19.140625" style="32" customWidth="1"/>
    <col min="4101" max="4101" width="12.28515625" style="32" customWidth="1"/>
    <col min="4102" max="4102" width="9" style="32"/>
    <col min="4103" max="4103" width="12.42578125" style="32" customWidth="1"/>
    <col min="4104" max="4105" width="8.7109375" style="32" customWidth="1"/>
    <col min="4106" max="4106" width="2.7109375" style="32" customWidth="1"/>
    <col min="4107" max="4107" width="33.140625" style="32" customWidth="1"/>
    <col min="4108" max="4109" width="8.7109375" style="32" customWidth="1"/>
    <col min="4110" max="4110" width="27.140625" style="32" customWidth="1"/>
    <col min="4111" max="4111" width="11.7109375" style="32" customWidth="1"/>
    <col min="4112" max="4112" width="13.28515625" style="32" customWidth="1"/>
    <col min="4113" max="4113" width="17.28515625" style="32" customWidth="1"/>
    <col min="4114" max="4114" width="20.7109375" style="32" customWidth="1"/>
    <col min="4115" max="4115" width="19.140625" style="32" customWidth="1"/>
    <col min="4116" max="4353" width="9" style="32"/>
    <col min="4354" max="4354" width="11.7109375" style="32" customWidth="1"/>
    <col min="4355" max="4355" width="16.7109375" style="32" customWidth="1"/>
    <col min="4356" max="4356" width="19.140625" style="32" customWidth="1"/>
    <col min="4357" max="4357" width="12.28515625" style="32" customWidth="1"/>
    <col min="4358" max="4358" width="9" style="32"/>
    <col min="4359" max="4359" width="12.42578125" style="32" customWidth="1"/>
    <col min="4360" max="4361" width="8.7109375" style="32" customWidth="1"/>
    <col min="4362" max="4362" width="2.7109375" style="32" customWidth="1"/>
    <col min="4363" max="4363" width="33.140625" style="32" customWidth="1"/>
    <col min="4364" max="4365" width="8.7109375" style="32" customWidth="1"/>
    <col min="4366" max="4366" width="27.140625" style="32" customWidth="1"/>
    <col min="4367" max="4367" width="11.7109375" style="32" customWidth="1"/>
    <col min="4368" max="4368" width="13.28515625" style="32" customWidth="1"/>
    <col min="4369" max="4369" width="17.28515625" style="32" customWidth="1"/>
    <col min="4370" max="4370" width="20.7109375" style="32" customWidth="1"/>
    <col min="4371" max="4371" width="19.140625" style="32" customWidth="1"/>
    <col min="4372" max="4609" width="9" style="32"/>
    <col min="4610" max="4610" width="11.7109375" style="32" customWidth="1"/>
    <col min="4611" max="4611" width="16.7109375" style="32" customWidth="1"/>
    <col min="4612" max="4612" width="19.140625" style="32" customWidth="1"/>
    <col min="4613" max="4613" width="12.28515625" style="32" customWidth="1"/>
    <col min="4614" max="4614" width="9" style="32"/>
    <col min="4615" max="4615" width="12.42578125" style="32" customWidth="1"/>
    <col min="4616" max="4617" width="8.7109375" style="32" customWidth="1"/>
    <col min="4618" max="4618" width="2.7109375" style="32" customWidth="1"/>
    <col min="4619" max="4619" width="33.140625" style="32" customWidth="1"/>
    <col min="4620" max="4621" width="8.7109375" style="32" customWidth="1"/>
    <col min="4622" max="4622" width="27.140625" style="32" customWidth="1"/>
    <col min="4623" max="4623" width="11.7109375" style="32" customWidth="1"/>
    <col min="4624" max="4624" width="13.28515625" style="32" customWidth="1"/>
    <col min="4625" max="4625" width="17.28515625" style="32" customWidth="1"/>
    <col min="4626" max="4626" width="20.7109375" style="32" customWidth="1"/>
    <col min="4627" max="4627" width="19.140625" style="32" customWidth="1"/>
    <col min="4628" max="4865" width="9" style="32"/>
    <col min="4866" max="4866" width="11.7109375" style="32" customWidth="1"/>
    <col min="4867" max="4867" width="16.7109375" style="32" customWidth="1"/>
    <col min="4868" max="4868" width="19.140625" style="32" customWidth="1"/>
    <col min="4869" max="4869" width="12.28515625" style="32" customWidth="1"/>
    <col min="4870" max="4870" width="9" style="32"/>
    <col min="4871" max="4871" width="12.42578125" style="32" customWidth="1"/>
    <col min="4872" max="4873" width="8.7109375" style="32" customWidth="1"/>
    <col min="4874" max="4874" width="2.7109375" style="32" customWidth="1"/>
    <col min="4875" max="4875" width="33.140625" style="32" customWidth="1"/>
    <col min="4876" max="4877" width="8.7109375" style="32" customWidth="1"/>
    <col min="4878" max="4878" width="27.140625" style="32" customWidth="1"/>
    <col min="4879" max="4879" width="11.7109375" style="32" customWidth="1"/>
    <col min="4880" max="4880" width="13.28515625" style="32" customWidth="1"/>
    <col min="4881" max="4881" width="17.28515625" style="32" customWidth="1"/>
    <col min="4882" max="4882" width="20.7109375" style="32" customWidth="1"/>
    <col min="4883" max="4883" width="19.140625" style="32" customWidth="1"/>
    <col min="4884" max="5121" width="9" style="32"/>
    <col min="5122" max="5122" width="11.7109375" style="32" customWidth="1"/>
    <col min="5123" max="5123" width="16.7109375" style="32" customWidth="1"/>
    <col min="5124" max="5124" width="19.140625" style="32" customWidth="1"/>
    <col min="5125" max="5125" width="12.28515625" style="32" customWidth="1"/>
    <col min="5126" max="5126" width="9" style="32"/>
    <col min="5127" max="5127" width="12.42578125" style="32" customWidth="1"/>
    <col min="5128" max="5129" width="8.7109375" style="32" customWidth="1"/>
    <col min="5130" max="5130" width="2.7109375" style="32" customWidth="1"/>
    <col min="5131" max="5131" width="33.140625" style="32" customWidth="1"/>
    <col min="5132" max="5133" width="8.7109375" style="32" customWidth="1"/>
    <col min="5134" max="5134" width="27.140625" style="32" customWidth="1"/>
    <col min="5135" max="5135" width="11.7109375" style="32" customWidth="1"/>
    <col min="5136" max="5136" width="13.28515625" style="32" customWidth="1"/>
    <col min="5137" max="5137" width="17.28515625" style="32" customWidth="1"/>
    <col min="5138" max="5138" width="20.7109375" style="32" customWidth="1"/>
    <col min="5139" max="5139" width="19.140625" style="32" customWidth="1"/>
    <col min="5140" max="5377" width="9" style="32"/>
    <col min="5378" max="5378" width="11.7109375" style="32" customWidth="1"/>
    <col min="5379" max="5379" width="16.7109375" style="32" customWidth="1"/>
    <col min="5380" max="5380" width="19.140625" style="32" customWidth="1"/>
    <col min="5381" max="5381" width="12.28515625" style="32" customWidth="1"/>
    <col min="5382" max="5382" width="9" style="32"/>
    <col min="5383" max="5383" width="12.42578125" style="32" customWidth="1"/>
    <col min="5384" max="5385" width="8.7109375" style="32" customWidth="1"/>
    <col min="5386" max="5386" width="2.7109375" style="32" customWidth="1"/>
    <col min="5387" max="5387" width="33.140625" style="32" customWidth="1"/>
    <col min="5388" max="5389" width="8.7109375" style="32" customWidth="1"/>
    <col min="5390" max="5390" width="27.140625" style="32" customWidth="1"/>
    <col min="5391" max="5391" width="11.7109375" style="32" customWidth="1"/>
    <col min="5392" max="5392" width="13.28515625" style="32" customWidth="1"/>
    <col min="5393" max="5393" width="17.28515625" style="32" customWidth="1"/>
    <col min="5394" max="5394" width="20.7109375" style="32" customWidth="1"/>
    <col min="5395" max="5395" width="19.140625" style="32" customWidth="1"/>
    <col min="5396" max="5633" width="9" style="32"/>
    <col min="5634" max="5634" width="11.7109375" style="32" customWidth="1"/>
    <col min="5635" max="5635" width="16.7109375" style="32" customWidth="1"/>
    <col min="5636" max="5636" width="19.140625" style="32" customWidth="1"/>
    <col min="5637" max="5637" width="12.28515625" style="32" customWidth="1"/>
    <col min="5638" max="5638" width="9" style="32"/>
    <col min="5639" max="5639" width="12.42578125" style="32" customWidth="1"/>
    <col min="5640" max="5641" width="8.7109375" style="32" customWidth="1"/>
    <col min="5642" max="5642" width="2.7109375" style="32" customWidth="1"/>
    <col min="5643" max="5643" width="33.140625" style="32" customWidth="1"/>
    <col min="5644" max="5645" width="8.7109375" style="32" customWidth="1"/>
    <col min="5646" max="5646" width="27.140625" style="32" customWidth="1"/>
    <col min="5647" max="5647" width="11.7109375" style="32" customWidth="1"/>
    <col min="5648" max="5648" width="13.28515625" style="32" customWidth="1"/>
    <col min="5649" max="5649" width="17.28515625" style="32" customWidth="1"/>
    <col min="5650" max="5650" width="20.7109375" style="32" customWidth="1"/>
    <col min="5651" max="5651" width="19.140625" style="32" customWidth="1"/>
    <col min="5652" max="5889" width="9" style="32"/>
    <col min="5890" max="5890" width="11.7109375" style="32" customWidth="1"/>
    <col min="5891" max="5891" width="16.7109375" style="32" customWidth="1"/>
    <col min="5892" max="5892" width="19.140625" style="32" customWidth="1"/>
    <col min="5893" max="5893" width="12.28515625" style="32" customWidth="1"/>
    <col min="5894" max="5894" width="9" style="32"/>
    <col min="5895" max="5895" width="12.42578125" style="32" customWidth="1"/>
    <col min="5896" max="5897" width="8.7109375" style="32" customWidth="1"/>
    <col min="5898" max="5898" width="2.7109375" style="32" customWidth="1"/>
    <col min="5899" max="5899" width="33.140625" style="32" customWidth="1"/>
    <col min="5900" max="5901" width="8.7109375" style="32" customWidth="1"/>
    <col min="5902" max="5902" width="27.140625" style="32" customWidth="1"/>
    <col min="5903" max="5903" width="11.7109375" style="32" customWidth="1"/>
    <col min="5904" max="5904" width="13.28515625" style="32" customWidth="1"/>
    <col min="5905" max="5905" width="17.28515625" style="32" customWidth="1"/>
    <col min="5906" max="5906" width="20.7109375" style="32" customWidth="1"/>
    <col min="5907" max="5907" width="19.140625" style="32" customWidth="1"/>
    <col min="5908" max="6145" width="9" style="32"/>
    <col min="6146" max="6146" width="11.7109375" style="32" customWidth="1"/>
    <col min="6147" max="6147" width="16.7109375" style="32" customWidth="1"/>
    <col min="6148" max="6148" width="19.140625" style="32" customWidth="1"/>
    <col min="6149" max="6149" width="12.28515625" style="32" customWidth="1"/>
    <col min="6150" max="6150" width="9" style="32"/>
    <col min="6151" max="6151" width="12.42578125" style="32" customWidth="1"/>
    <col min="6152" max="6153" width="8.7109375" style="32" customWidth="1"/>
    <col min="6154" max="6154" width="2.7109375" style="32" customWidth="1"/>
    <col min="6155" max="6155" width="33.140625" style="32" customWidth="1"/>
    <col min="6156" max="6157" width="8.7109375" style="32" customWidth="1"/>
    <col min="6158" max="6158" width="27.140625" style="32" customWidth="1"/>
    <col min="6159" max="6159" width="11.7109375" style="32" customWidth="1"/>
    <col min="6160" max="6160" width="13.28515625" style="32" customWidth="1"/>
    <col min="6161" max="6161" width="17.28515625" style="32" customWidth="1"/>
    <col min="6162" max="6162" width="20.7109375" style="32" customWidth="1"/>
    <col min="6163" max="6163" width="19.140625" style="32" customWidth="1"/>
    <col min="6164" max="6401" width="9" style="32"/>
    <col min="6402" max="6402" width="11.7109375" style="32" customWidth="1"/>
    <col min="6403" max="6403" width="16.7109375" style="32" customWidth="1"/>
    <col min="6404" max="6404" width="19.140625" style="32" customWidth="1"/>
    <col min="6405" max="6405" width="12.28515625" style="32" customWidth="1"/>
    <col min="6406" max="6406" width="9" style="32"/>
    <col min="6407" max="6407" width="12.42578125" style="32" customWidth="1"/>
    <col min="6408" max="6409" width="8.7109375" style="32" customWidth="1"/>
    <col min="6410" max="6410" width="2.7109375" style="32" customWidth="1"/>
    <col min="6411" max="6411" width="33.140625" style="32" customWidth="1"/>
    <col min="6412" max="6413" width="8.7109375" style="32" customWidth="1"/>
    <col min="6414" max="6414" width="27.140625" style="32" customWidth="1"/>
    <col min="6415" max="6415" width="11.7109375" style="32" customWidth="1"/>
    <col min="6416" max="6416" width="13.28515625" style="32" customWidth="1"/>
    <col min="6417" max="6417" width="17.28515625" style="32" customWidth="1"/>
    <col min="6418" max="6418" width="20.7109375" style="32" customWidth="1"/>
    <col min="6419" max="6419" width="19.140625" style="32" customWidth="1"/>
    <col min="6420" max="6657" width="9" style="32"/>
    <col min="6658" max="6658" width="11.7109375" style="32" customWidth="1"/>
    <col min="6659" max="6659" width="16.7109375" style="32" customWidth="1"/>
    <col min="6660" max="6660" width="19.140625" style="32" customWidth="1"/>
    <col min="6661" max="6661" width="12.28515625" style="32" customWidth="1"/>
    <col min="6662" max="6662" width="9" style="32"/>
    <col min="6663" max="6663" width="12.42578125" style="32" customWidth="1"/>
    <col min="6664" max="6665" width="8.7109375" style="32" customWidth="1"/>
    <col min="6666" max="6666" width="2.7109375" style="32" customWidth="1"/>
    <col min="6667" max="6667" width="33.140625" style="32" customWidth="1"/>
    <col min="6668" max="6669" width="8.7109375" style="32" customWidth="1"/>
    <col min="6670" max="6670" width="27.140625" style="32" customWidth="1"/>
    <col min="6671" max="6671" width="11.7109375" style="32" customWidth="1"/>
    <col min="6672" max="6672" width="13.28515625" style="32" customWidth="1"/>
    <col min="6673" max="6673" width="17.28515625" style="32" customWidth="1"/>
    <col min="6674" max="6674" width="20.7109375" style="32" customWidth="1"/>
    <col min="6675" max="6675" width="19.140625" style="32" customWidth="1"/>
    <col min="6676" max="6913" width="9" style="32"/>
    <col min="6914" max="6914" width="11.7109375" style="32" customWidth="1"/>
    <col min="6915" max="6915" width="16.7109375" style="32" customWidth="1"/>
    <col min="6916" max="6916" width="19.140625" style="32" customWidth="1"/>
    <col min="6917" max="6917" width="12.28515625" style="32" customWidth="1"/>
    <col min="6918" max="6918" width="9" style="32"/>
    <col min="6919" max="6919" width="12.42578125" style="32" customWidth="1"/>
    <col min="6920" max="6921" width="8.7109375" style="32" customWidth="1"/>
    <col min="6922" max="6922" width="2.7109375" style="32" customWidth="1"/>
    <col min="6923" max="6923" width="33.140625" style="32" customWidth="1"/>
    <col min="6924" max="6925" width="8.7109375" style="32" customWidth="1"/>
    <col min="6926" max="6926" width="27.140625" style="32" customWidth="1"/>
    <col min="6927" max="6927" width="11.7109375" style="32" customWidth="1"/>
    <col min="6928" max="6928" width="13.28515625" style="32" customWidth="1"/>
    <col min="6929" max="6929" width="17.28515625" style="32" customWidth="1"/>
    <col min="6930" max="6930" width="20.7109375" style="32" customWidth="1"/>
    <col min="6931" max="6931" width="19.140625" style="32" customWidth="1"/>
    <col min="6932" max="7169" width="9" style="32"/>
    <col min="7170" max="7170" width="11.7109375" style="32" customWidth="1"/>
    <col min="7171" max="7171" width="16.7109375" style="32" customWidth="1"/>
    <col min="7172" max="7172" width="19.140625" style="32" customWidth="1"/>
    <col min="7173" max="7173" width="12.28515625" style="32" customWidth="1"/>
    <col min="7174" max="7174" width="9" style="32"/>
    <col min="7175" max="7175" width="12.42578125" style="32" customWidth="1"/>
    <col min="7176" max="7177" width="8.7109375" style="32" customWidth="1"/>
    <col min="7178" max="7178" width="2.7109375" style="32" customWidth="1"/>
    <col min="7179" max="7179" width="33.140625" style="32" customWidth="1"/>
    <col min="7180" max="7181" width="8.7109375" style="32" customWidth="1"/>
    <col min="7182" max="7182" width="27.140625" style="32" customWidth="1"/>
    <col min="7183" max="7183" width="11.7109375" style="32" customWidth="1"/>
    <col min="7184" max="7184" width="13.28515625" style="32" customWidth="1"/>
    <col min="7185" max="7185" width="17.28515625" style="32" customWidth="1"/>
    <col min="7186" max="7186" width="20.7109375" style="32" customWidth="1"/>
    <col min="7187" max="7187" width="19.140625" style="32" customWidth="1"/>
    <col min="7188" max="7425" width="9" style="32"/>
    <col min="7426" max="7426" width="11.7109375" style="32" customWidth="1"/>
    <col min="7427" max="7427" width="16.7109375" style="32" customWidth="1"/>
    <col min="7428" max="7428" width="19.140625" style="32" customWidth="1"/>
    <col min="7429" max="7429" width="12.28515625" style="32" customWidth="1"/>
    <col min="7430" max="7430" width="9" style="32"/>
    <col min="7431" max="7431" width="12.42578125" style="32" customWidth="1"/>
    <col min="7432" max="7433" width="8.7109375" style="32" customWidth="1"/>
    <col min="7434" max="7434" width="2.7109375" style="32" customWidth="1"/>
    <col min="7435" max="7435" width="33.140625" style="32" customWidth="1"/>
    <col min="7436" max="7437" width="8.7109375" style="32" customWidth="1"/>
    <col min="7438" max="7438" width="27.140625" style="32" customWidth="1"/>
    <col min="7439" max="7439" width="11.7109375" style="32" customWidth="1"/>
    <col min="7440" max="7440" width="13.28515625" style="32" customWidth="1"/>
    <col min="7441" max="7441" width="17.28515625" style="32" customWidth="1"/>
    <col min="7442" max="7442" width="20.7109375" style="32" customWidth="1"/>
    <col min="7443" max="7443" width="19.140625" style="32" customWidth="1"/>
    <col min="7444" max="7681" width="9" style="32"/>
    <col min="7682" max="7682" width="11.7109375" style="32" customWidth="1"/>
    <col min="7683" max="7683" width="16.7109375" style="32" customWidth="1"/>
    <col min="7684" max="7684" width="19.140625" style="32" customWidth="1"/>
    <col min="7685" max="7685" width="12.28515625" style="32" customWidth="1"/>
    <col min="7686" max="7686" width="9" style="32"/>
    <col min="7687" max="7687" width="12.42578125" style="32" customWidth="1"/>
    <col min="7688" max="7689" width="8.7109375" style="32" customWidth="1"/>
    <col min="7690" max="7690" width="2.7109375" style="32" customWidth="1"/>
    <col min="7691" max="7691" width="33.140625" style="32" customWidth="1"/>
    <col min="7692" max="7693" width="8.7109375" style="32" customWidth="1"/>
    <col min="7694" max="7694" width="27.140625" style="32" customWidth="1"/>
    <col min="7695" max="7695" width="11.7109375" style="32" customWidth="1"/>
    <col min="7696" max="7696" width="13.28515625" style="32" customWidth="1"/>
    <col min="7697" max="7697" width="17.28515625" style="32" customWidth="1"/>
    <col min="7698" max="7698" width="20.7109375" style="32" customWidth="1"/>
    <col min="7699" max="7699" width="19.140625" style="32" customWidth="1"/>
    <col min="7700" max="7937" width="9" style="32"/>
    <col min="7938" max="7938" width="11.7109375" style="32" customWidth="1"/>
    <col min="7939" max="7939" width="16.7109375" style="32" customWidth="1"/>
    <col min="7940" max="7940" width="19.140625" style="32" customWidth="1"/>
    <col min="7941" max="7941" width="12.28515625" style="32" customWidth="1"/>
    <col min="7942" max="7942" width="9" style="32"/>
    <col min="7943" max="7943" width="12.42578125" style="32" customWidth="1"/>
    <col min="7944" max="7945" width="8.7109375" style="32" customWidth="1"/>
    <col min="7946" max="7946" width="2.7109375" style="32" customWidth="1"/>
    <col min="7947" max="7947" width="33.140625" style="32" customWidth="1"/>
    <col min="7948" max="7949" width="8.7109375" style="32" customWidth="1"/>
    <col min="7950" max="7950" width="27.140625" style="32" customWidth="1"/>
    <col min="7951" max="7951" width="11.7109375" style="32" customWidth="1"/>
    <col min="7952" max="7952" width="13.28515625" style="32" customWidth="1"/>
    <col min="7953" max="7953" width="17.28515625" style="32" customWidth="1"/>
    <col min="7954" max="7954" width="20.7109375" style="32" customWidth="1"/>
    <col min="7955" max="7955" width="19.140625" style="32" customWidth="1"/>
    <col min="7956" max="8193" width="9" style="32"/>
    <col min="8194" max="8194" width="11.7109375" style="32" customWidth="1"/>
    <col min="8195" max="8195" width="16.7109375" style="32" customWidth="1"/>
    <col min="8196" max="8196" width="19.140625" style="32" customWidth="1"/>
    <col min="8197" max="8197" width="12.28515625" style="32" customWidth="1"/>
    <col min="8198" max="8198" width="9" style="32"/>
    <col min="8199" max="8199" width="12.42578125" style="32" customWidth="1"/>
    <col min="8200" max="8201" width="8.7109375" style="32" customWidth="1"/>
    <col min="8202" max="8202" width="2.7109375" style="32" customWidth="1"/>
    <col min="8203" max="8203" width="33.140625" style="32" customWidth="1"/>
    <col min="8204" max="8205" width="8.7109375" style="32" customWidth="1"/>
    <col min="8206" max="8206" width="27.140625" style="32" customWidth="1"/>
    <col min="8207" max="8207" width="11.7109375" style="32" customWidth="1"/>
    <col min="8208" max="8208" width="13.28515625" style="32" customWidth="1"/>
    <col min="8209" max="8209" width="17.28515625" style="32" customWidth="1"/>
    <col min="8210" max="8210" width="20.7109375" style="32" customWidth="1"/>
    <col min="8211" max="8211" width="19.140625" style="32" customWidth="1"/>
    <col min="8212" max="8449" width="9" style="32"/>
    <col min="8450" max="8450" width="11.7109375" style="32" customWidth="1"/>
    <col min="8451" max="8451" width="16.7109375" style="32" customWidth="1"/>
    <col min="8452" max="8452" width="19.140625" style="32" customWidth="1"/>
    <col min="8453" max="8453" width="12.28515625" style="32" customWidth="1"/>
    <col min="8454" max="8454" width="9" style="32"/>
    <col min="8455" max="8455" width="12.42578125" style="32" customWidth="1"/>
    <col min="8456" max="8457" width="8.7109375" style="32" customWidth="1"/>
    <col min="8458" max="8458" width="2.7109375" style="32" customWidth="1"/>
    <col min="8459" max="8459" width="33.140625" style="32" customWidth="1"/>
    <col min="8460" max="8461" width="8.7109375" style="32" customWidth="1"/>
    <col min="8462" max="8462" width="27.140625" style="32" customWidth="1"/>
    <col min="8463" max="8463" width="11.7109375" style="32" customWidth="1"/>
    <col min="8464" max="8464" width="13.28515625" style="32" customWidth="1"/>
    <col min="8465" max="8465" width="17.28515625" style="32" customWidth="1"/>
    <col min="8466" max="8466" width="20.7109375" style="32" customWidth="1"/>
    <col min="8467" max="8467" width="19.140625" style="32" customWidth="1"/>
    <col min="8468" max="8705" width="9" style="32"/>
    <col min="8706" max="8706" width="11.7109375" style="32" customWidth="1"/>
    <col min="8707" max="8707" width="16.7109375" style="32" customWidth="1"/>
    <col min="8708" max="8708" width="19.140625" style="32" customWidth="1"/>
    <col min="8709" max="8709" width="12.28515625" style="32" customWidth="1"/>
    <col min="8710" max="8710" width="9" style="32"/>
    <col min="8711" max="8711" width="12.42578125" style="32" customWidth="1"/>
    <col min="8712" max="8713" width="8.7109375" style="32" customWidth="1"/>
    <col min="8714" max="8714" width="2.7109375" style="32" customWidth="1"/>
    <col min="8715" max="8715" width="33.140625" style="32" customWidth="1"/>
    <col min="8716" max="8717" width="8.7109375" style="32" customWidth="1"/>
    <col min="8718" max="8718" width="27.140625" style="32" customWidth="1"/>
    <col min="8719" max="8719" width="11.7109375" style="32" customWidth="1"/>
    <col min="8720" max="8720" width="13.28515625" style="32" customWidth="1"/>
    <col min="8721" max="8721" width="17.28515625" style="32" customWidth="1"/>
    <col min="8722" max="8722" width="20.7109375" style="32" customWidth="1"/>
    <col min="8723" max="8723" width="19.140625" style="32" customWidth="1"/>
    <col min="8724" max="8961" width="9" style="32"/>
    <col min="8962" max="8962" width="11.7109375" style="32" customWidth="1"/>
    <col min="8963" max="8963" width="16.7109375" style="32" customWidth="1"/>
    <col min="8964" max="8964" width="19.140625" style="32" customWidth="1"/>
    <col min="8965" max="8965" width="12.28515625" style="32" customWidth="1"/>
    <col min="8966" max="8966" width="9" style="32"/>
    <col min="8967" max="8967" width="12.42578125" style="32" customWidth="1"/>
    <col min="8968" max="8969" width="8.7109375" style="32" customWidth="1"/>
    <col min="8970" max="8970" width="2.7109375" style="32" customWidth="1"/>
    <col min="8971" max="8971" width="33.140625" style="32" customWidth="1"/>
    <col min="8972" max="8973" width="8.7109375" style="32" customWidth="1"/>
    <col min="8974" max="8974" width="27.140625" style="32" customWidth="1"/>
    <col min="8975" max="8975" width="11.7109375" style="32" customWidth="1"/>
    <col min="8976" max="8976" width="13.28515625" style="32" customWidth="1"/>
    <col min="8977" max="8977" width="17.28515625" style="32" customWidth="1"/>
    <col min="8978" max="8978" width="20.7109375" style="32" customWidth="1"/>
    <col min="8979" max="8979" width="19.140625" style="32" customWidth="1"/>
    <col min="8980" max="9217" width="9" style="32"/>
    <col min="9218" max="9218" width="11.7109375" style="32" customWidth="1"/>
    <col min="9219" max="9219" width="16.7109375" style="32" customWidth="1"/>
    <col min="9220" max="9220" width="19.140625" style="32" customWidth="1"/>
    <col min="9221" max="9221" width="12.28515625" style="32" customWidth="1"/>
    <col min="9222" max="9222" width="9" style="32"/>
    <col min="9223" max="9223" width="12.42578125" style="32" customWidth="1"/>
    <col min="9224" max="9225" width="8.7109375" style="32" customWidth="1"/>
    <col min="9226" max="9226" width="2.7109375" style="32" customWidth="1"/>
    <col min="9227" max="9227" width="33.140625" style="32" customWidth="1"/>
    <col min="9228" max="9229" width="8.7109375" style="32" customWidth="1"/>
    <col min="9230" max="9230" width="27.140625" style="32" customWidth="1"/>
    <col min="9231" max="9231" width="11.7109375" style="32" customWidth="1"/>
    <col min="9232" max="9232" width="13.28515625" style="32" customWidth="1"/>
    <col min="9233" max="9233" width="17.28515625" style="32" customWidth="1"/>
    <col min="9234" max="9234" width="20.7109375" style="32" customWidth="1"/>
    <col min="9235" max="9235" width="19.140625" style="32" customWidth="1"/>
    <col min="9236" max="9473" width="9" style="32"/>
    <col min="9474" max="9474" width="11.7109375" style="32" customWidth="1"/>
    <col min="9475" max="9475" width="16.7109375" style="32" customWidth="1"/>
    <col min="9476" max="9476" width="19.140625" style="32" customWidth="1"/>
    <col min="9477" max="9477" width="12.28515625" style="32" customWidth="1"/>
    <col min="9478" max="9478" width="9" style="32"/>
    <col min="9479" max="9479" width="12.42578125" style="32" customWidth="1"/>
    <col min="9480" max="9481" width="8.7109375" style="32" customWidth="1"/>
    <col min="9482" max="9482" width="2.7109375" style="32" customWidth="1"/>
    <col min="9483" max="9483" width="33.140625" style="32" customWidth="1"/>
    <col min="9484" max="9485" width="8.7109375" style="32" customWidth="1"/>
    <col min="9486" max="9486" width="27.140625" style="32" customWidth="1"/>
    <col min="9487" max="9487" width="11.7109375" style="32" customWidth="1"/>
    <col min="9488" max="9488" width="13.28515625" style="32" customWidth="1"/>
    <col min="9489" max="9489" width="17.28515625" style="32" customWidth="1"/>
    <col min="9490" max="9490" width="20.7109375" style="32" customWidth="1"/>
    <col min="9491" max="9491" width="19.140625" style="32" customWidth="1"/>
    <col min="9492" max="9729" width="9" style="32"/>
    <col min="9730" max="9730" width="11.7109375" style="32" customWidth="1"/>
    <col min="9731" max="9731" width="16.7109375" style="32" customWidth="1"/>
    <col min="9732" max="9732" width="19.140625" style="32" customWidth="1"/>
    <col min="9733" max="9733" width="12.28515625" style="32" customWidth="1"/>
    <col min="9734" max="9734" width="9" style="32"/>
    <col min="9735" max="9735" width="12.42578125" style="32" customWidth="1"/>
    <col min="9736" max="9737" width="8.7109375" style="32" customWidth="1"/>
    <col min="9738" max="9738" width="2.7109375" style="32" customWidth="1"/>
    <col min="9739" max="9739" width="33.140625" style="32" customWidth="1"/>
    <col min="9740" max="9741" width="8.7109375" style="32" customWidth="1"/>
    <col min="9742" max="9742" width="27.140625" style="32" customWidth="1"/>
    <col min="9743" max="9743" width="11.7109375" style="32" customWidth="1"/>
    <col min="9744" max="9744" width="13.28515625" style="32" customWidth="1"/>
    <col min="9745" max="9745" width="17.28515625" style="32" customWidth="1"/>
    <col min="9746" max="9746" width="20.7109375" style="32" customWidth="1"/>
    <col min="9747" max="9747" width="19.140625" style="32" customWidth="1"/>
    <col min="9748" max="9985" width="9" style="32"/>
    <col min="9986" max="9986" width="11.7109375" style="32" customWidth="1"/>
    <col min="9987" max="9987" width="16.7109375" style="32" customWidth="1"/>
    <col min="9988" max="9988" width="19.140625" style="32" customWidth="1"/>
    <col min="9989" max="9989" width="12.28515625" style="32" customWidth="1"/>
    <col min="9990" max="9990" width="9" style="32"/>
    <col min="9991" max="9991" width="12.42578125" style="32" customWidth="1"/>
    <col min="9992" max="9993" width="8.7109375" style="32" customWidth="1"/>
    <col min="9994" max="9994" width="2.7109375" style="32" customWidth="1"/>
    <col min="9995" max="9995" width="33.140625" style="32" customWidth="1"/>
    <col min="9996" max="9997" width="8.7109375" style="32" customWidth="1"/>
    <col min="9998" max="9998" width="27.140625" style="32" customWidth="1"/>
    <col min="9999" max="9999" width="11.7109375" style="32" customWidth="1"/>
    <col min="10000" max="10000" width="13.28515625" style="32" customWidth="1"/>
    <col min="10001" max="10001" width="17.28515625" style="32" customWidth="1"/>
    <col min="10002" max="10002" width="20.7109375" style="32" customWidth="1"/>
    <col min="10003" max="10003" width="19.140625" style="32" customWidth="1"/>
    <col min="10004" max="10241" width="9" style="32"/>
    <col min="10242" max="10242" width="11.7109375" style="32" customWidth="1"/>
    <col min="10243" max="10243" width="16.7109375" style="32" customWidth="1"/>
    <col min="10244" max="10244" width="19.140625" style="32" customWidth="1"/>
    <col min="10245" max="10245" width="12.28515625" style="32" customWidth="1"/>
    <col min="10246" max="10246" width="9" style="32"/>
    <col min="10247" max="10247" width="12.42578125" style="32" customWidth="1"/>
    <col min="10248" max="10249" width="8.7109375" style="32" customWidth="1"/>
    <col min="10250" max="10250" width="2.7109375" style="32" customWidth="1"/>
    <col min="10251" max="10251" width="33.140625" style="32" customWidth="1"/>
    <col min="10252" max="10253" width="8.7109375" style="32" customWidth="1"/>
    <col min="10254" max="10254" width="27.140625" style="32" customWidth="1"/>
    <col min="10255" max="10255" width="11.7109375" style="32" customWidth="1"/>
    <col min="10256" max="10256" width="13.28515625" style="32" customWidth="1"/>
    <col min="10257" max="10257" width="17.28515625" style="32" customWidth="1"/>
    <col min="10258" max="10258" width="20.7109375" style="32" customWidth="1"/>
    <col min="10259" max="10259" width="19.140625" style="32" customWidth="1"/>
    <col min="10260" max="10497" width="9" style="32"/>
    <col min="10498" max="10498" width="11.7109375" style="32" customWidth="1"/>
    <col min="10499" max="10499" width="16.7109375" style="32" customWidth="1"/>
    <col min="10500" max="10500" width="19.140625" style="32" customWidth="1"/>
    <col min="10501" max="10501" width="12.28515625" style="32" customWidth="1"/>
    <col min="10502" max="10502" width="9" style="32"/>
    <col min="10503" max="10503" width="12.42578125" style="32" customWidth="1"/>
    <col min="10504" max="10505" width="8.7109375" style="32" customWidth="1"/>
    <col min="10506" max="10506" width="2.7109375" style="32" customWidth="1"/>
    <col min="10507" max="10507" width="33.140625" style="32" customWidth="1"/>
    <col min="10508" max="10509" width="8.7109375" style="32" customWidth="1"/>
    <col min="10510" max="10510" width="27.140625" style="32" customWidth="1"/>
    <col min="10511" max="10511" width="11.7109375" style="32" customWidth="1"/>
    <col min="10512" max="10512" width="13.28515625" style="32" customWidth="1"/>
    <col min="10513" max="10513" width="17.28515625" style="32" customWidth="1"/>
    <col min="10514" max="10514" width="20.7109375" style="32" customWidth="1"/>
    <col min="10515" max="10515" width="19.140625" style="32" customWidth="1"/>
    <col min="10516" max="10753" width="9" style="32"/>
    <col min="10754" max="10754" width="11.7109375" style="32" customWidth="1"/>
    <col min="10755" max="10755" width="16.7109375" style="32" customWidth="1"/>
    <col min="10756" max="10756" width="19.140625" style="32" customWidth="1"/>
    <col min="10757" max="10757" width="12.28515625" style="32" customWidth="1"/>
    <col min="10758" max="10758" width="9" style="32"/>
    <col min="10759" max="10759" width="12.42578125" style="32" customWidth="1"/>
    <col min="10760" max="10761" width="8.7109375" style="32" customWidth="1"/>
    <col min="10762" max="10762" width="2.7109375" style="32" customWidth="1"/>
    <col min="10763" max="10763" width="33.140625" style="32" customWidth="1"/>
    <col min="10764" max="10765" width="8.7109375" style="32" customWidth="1"/>
    <col min="10766" max="10766" width="27.140625" style="32" customWidth="1"/>
    <col min="10767" max="10767" width="11.7109375" style="32" customWidth="1"/>
    <col min="10768" max="10768" width="13.28515625" style="32" customWidth="1"/>
    <col min="10769" max="10769" width="17.28515625" style="32" customWidth="1"/>
    <col min="10770" max="10770" width="20.7109375" style="32" customWidth="1"/>
    <col min="10771" max="10771" width="19.140625" style="32" customWidth="1"/>
    <col min="10772" max="11009" width="9" style="32"/>
    <col min="11010" max="11010" width="11.7109375" style="32" customWidth="1"/>
    <col min="11011" max="11011" width="16.7109375" style="32" customWidth="1"/>
    <col min="11012" max="11012" width="19.140625" style="32" customWidth="1"/>
    <col min="11013" max="11013" width="12.28515625" style="32" customWidth="1"/>
    <col min="11014" max="11014" width="9" style="32"/>
    <col min="11015" max="11015" width="12.42578125" style="32" customWidth="1"/>
    <col min="11016" max="11017" width="8.7109375" style="32" customWidth="1"/>
    <col min="11018" max="11018" width="2.7109375" style="32" customWidth="1"/>
    <col min="11019" max="11019" width="33.140625" style="32" customWidth="1"/>
    <col min="11020" max="11021" width="8.7109375" style="32" customWidth="1"/>
    <col min="11022" max="11022" width="27.140625" style="32" customWidth="1"/>
    <col min="11023" max="11023" width="11.7109375" style="32" customWidth="1"/>
    <col min="11024" max="11024" width="13.28515625" style="32" customWidth="1"/>
    <col min="11025" max="11025" width="17.28515625" style="32" customWidth="1"/>
    <col min="11026" max="11026" width="20.7109375" style="32" customWidth="1"/>
    <col min="11027" max="11027" width="19.140625" style="32" customWidth="1"/>
    <col min="11028" max="11265" width="9" style="32"/>
    <col min="11266" max="11266" width="11.7109375" style="32" customWidth="1"/>
    <col min="11267" max="11267" width="16.7109375" style="32" customWidth="1"/>
    <col min="11268" max="11268" width="19.140625" style="32" customWidth="1"/>
    <col min="11269" max="11269" width="12.28515625" style="32" customWidth="1"/>
    <col min="11270" max="11270" width="9" style="32"/>
    <col min="11271" max="11271" width="12.42578125" style="32" customWidth="1"/>
    <col min="11272" max="11273" width="8.7109375" style="32" customWidth="1"/>
    <col min="11274" max="11274" width="2.7109375" style="32" customWidth="1"/>
    <col min="11275" max="11275" width="33.140625" style="32" customWidth="1"/>
    <col min="11276" max="11277" width="8.7109375" style="32" customWidth="1"/>
    <col min="11278" max="11278" width="27.140625" style="32" customWidth="1"/>
    <col min="11279" max="11279" width="11.7109375" style="32" customWidth="1"/>
    <col min="11280" max="11280" width="13.28515625" style="32" customWidth="1"/>
    <col min="11281" max="11281" width="17.28515625" style="32" customWidth="1"/>
    <col min="11282" max="11282" width="20.7109375" style="32" customWidth="1"/>
    <col min="11283" max="11283" width="19.140625" style="32" customWidth="1"/>
    <col min="11284" max="11521" width="9" style="32"/>
    <col min="11522" max="11522" width="11.7109375" style="32" customWidth="1"/>
    <col min="11523" max="11523" width="16.7109375" style="32" customWidth="1"/>
    <col min="11524" max="11524" width="19.140625" style="32" customWidth="1"/>
    <col min="11525" max="11525" width="12.28515625" style="32" customWidth="1"/>
    <col min="11526" max="11526" width="9" style="32"/>
    <col min="11527" max="11527" width="12.42578125" style="32" customWidth="1"/>
    <col min="11528" max="11529" width="8.7109375" style="32" customWidth="1"/>
    <col min="11530" max="11530" width="2.7109375" style="32" customWidth="1"/>
    <col min="11531" max="11531" width="33.140625" style="32" customWidth="1"/>
    <col min="11532" max="11533" width="8.7109375" style="32" customWidth="1"/>
    <col min="11534" max="11534" width="27.140625" style="32" customWidth="1"/>
    <col min="11535" max="11535" width="11.7109375" style="32" customWidth="1"/>
    <col min="11536" max="11536" width="13.28515625" style="32" customWidth="1"/>
    <col min="11537" max="11537" width="17.28515625" style="32" customWidth="1"/>
    <col min="11538" max="11538" width="20.7109375" style="32" customWidth="1"/>
    <col min="11539" max="11539" width="19.140625" style="32" customWidth="1"/>
    <col min="11540" max="11777" width="9" style="32"/>
    <col min="11778" max="11778" width="11.7109375" style="32" customWidth="1"/>
    <col min="11779" max="11779" width="16.7109375" style="32" customWidth="1"/>
    <col min="11780" max="11780" width="19.140625" style="32" customWidth="1"/>
    <col min="11781" max="11781" width="12.28515625" style="32" customWidth="1"/>
    <col min="11782" max="11782" width="9" style="32"/>
    <col min="11783" max="11783" width="12.42578125" style="32" customWidth="1"/>
    <col min="11784" max="11785" width="8.7109375" style="32" customWidth="1"/>
    <col min="11786" max="11786" width="2.7109375" style="32" customWidth="1"/>
    <col min="11787" max="11787" width="33.140625" style="32" customWidth="1"/>
    <col min="11788" max="11789" width="8.7109375" style="32" customWidth="1"/>
    <col min="11790" max="11790" width="27.140625" style="32" customWidth="1"/>
    <col min="11791" max="11791" width="11.7109375" style="32" customWidth="1"/>
    <col min="11792" max="11792" width="13.28515625" style="32" customWidth="1"/>
    <col min="11793" max="11793" width="17.28515625" style="32" customWidth="1"/>
    <col min="11794" max="11794" width="20.7109375" style="32" customWidth="1"/>
    <col min="11795" max="11795" width="19.140625" style="32" customWidth="1"/>
    <col min="11796" max="12033" width="9" style="32"/>
    <col min="12034" max="12034" width="11.7109375" style="32" customWidth="1"/>
    <col min="12035" max="12035" width="16.7109375" style="32" customWidth="1"/>
    <col min="12036" max="12036" width="19.140625" style="32" customWidth="1"/>
    <col min="12037" max="12037" width="12.28515625" style="32" customWidth="1"/>
    <col min="12038" max="12038" width="9" style="32"/>
    <col min="12039" max="12039" width="12.42578125" style="32" customWidth="1"/>
    <col min="12040" max="12041" width="8.7109375" style="32" customWidth="1"/>
    <col min="12042" max="12042" width="2.7109375" style="32" customWidth="1"/>
    <col min="12043" max="12043" width="33.140625" style="32" customWidth="1"/>
    <col min="12044" max="12045" width="8.7109375" style="32" customWidth="1"/>
    <col min="12046" max="12046" width="27.140625" style="32" customWidth="1"/>
    <col min="12047" max="12047" width="11.7109375" style="32" customWidth="1"/>
    <col min="12048" max="12048" width="13.28515625" style="32" customWidth="1"/>
    <col min="12049" max="12049" width="17.28515625" style="32" customWidth="1"/>
    <col min="12050" max="12050" width="20.7109375" style="32" customWidth="1"/>
    <col min="12051" max="12051" width="19.140625" style="32" customWidth="1"/>
    <col min="12052" max="12289" width="9" style="32"/>
    <col min="12290" max="12290" width="11.7109375" style="32" customWidth="1"/>
    <col min="12291" max="12291" width="16.7109375" style="32" customWidth="1"/>
    <col min="12292" max="12292" width="19.140625" style="32" customWidth="1"/>
    <col min="12293" max="12293" width="12.28515625" style="32" customWidth="1"/>
    <col min="12294" max="12294" width="9" style="32"/>
    <col min="12295" max="12295" width="12.42578125" style="32" customWidth="1"/>
    <col min="12296" max="12297" width="8.7109375" style="32" customWidth="1"/>
    <col min="12298" max="12298" width="2.7109375" style="32" customWidth="1"/>
    <col min="12299" max="12299" width="33.140625" style="32" customWidth="1"/>
    <col min="12300" max="12301" width="8.7109375" style="32" customWidth="1"/>
    <col min="12302" max="12302" width="27.140625" style="32" customWidth="1"/>
    <col min="12303" max="12303" width="11.7109375" style="32" customWidth="1"/>
    <col min="12304" max="12304" width="13.28515625" style="32" customWidth="1"/>
    <col min="12305" max="12305" width="17.28515625" style="32" customWidth="1"/>
    <col min="12306" max="12306" width="20.7109375" style="32" customWidth="1"/>
    <col min="12307" max="12307" width="19.140625" style="32" customWidth="1"/>
    <col min="12308" max="12545" width="9" style="32"/>
    <col min="12546" max="12546" width="11.7109375" style="32" customWidth="1"/>
    <col min="12547" max="12547" width="16.7109375" style="32" customWidth="1"/>
    <col min="12548" max="12548" width="19.140625" style="32" customWidth="1"/>
    <col min="12549" max="12549" width="12.28515625" style="32" customWidth="1"/>
    <col min="12550" max="12550" width="9" style="32"/>
    <col min="12551" max="12551" width="12.42578125" style="32" customWidth="1"/>
    <col min="12552" max="12553" width="8.7109375" style="32" customWidth="1"/>
    <col min="12554" max="12554" width="2.7109375" style="32" customWidth="1"/>
    <col min="12555" max="12555" width="33.140625" style="32" customWidth="1"/>
    <col min="12556" max="12557" width="8.7109375" style="32" customWidth="1"/>
    <col min="12558" max="12558" width="27.140625" style="32" customWidth="1"/>
    <col min="12559" max="12559" width="11.7109375" style="32" customWidth="1"/>
    <col min="12560" max="12560" width="13.28515625" style="32" customWidth="1"/>
    <col min="12561" max="12561" width="17.28515625" style="32" customWidth="1"/>
    <col min="12562" max="12562" width="20.7109375" style="32" customWidth="1"/>
    <col min="12563" max="12563" width="19.140625" style="32" customWidth="1"/>
    <col min="12564" max="12801" width="9" style="32"/>
    <col min="12802" max="12802" width="11.7109375" style="32" customWidth="1"/>
    <col min="12803" max="12803" width="16.7109375" style="32" customWidth="1"/>
    <col min="12804" max="12804" width="19.140625" style="32" customWidth="1"/>
    <col min="12805" max="12805" width="12.28515625" style="32" customWidth="1"/>
    <col min="12806" max="12806" width="9" style="32"/>
    <col min="12807" max="12807" width="12.42578125" style="32" customWidth="1"/>
    <col min="12808" max="12809" width="8.7109375" style="32" customWidth="1"/>
    <col min="12810" max="12810" width="2.7109375" style="32" customWidth="1"/>
    <col min="12811" max="12811" width="33.140625" style="32" customWidth="1"/>
    <col min="12812" max="12813" width="8.7109375" style="32" customWidth="1"/>
    <col min="12814" max="12814" width="27.140625" style="32" customWidth="1"/>
    <col min="12815" max="12815" width="11.7109375" style="32" customWidth="1"/>
    <col min="12816" max="12816" width="13.28515625" style="32" customWidth="1"/>
    <col min="12817" max="12817" width="17.28515625" style="32" customWidth="1"/>
    <col min="12818" max="12818" width="20.7109375" style="32" customWidth="1"/>
    <col min="12819" max="12819" width="19.140625" style="32" customWidth="1"/>
    <col min="12820" max="13057" width="9" style="32"/>
    <col min="13058" max="13058" width="11.7109375" style="32" customWidth="1"/>
    <col min="13059" max="13059" width="16.7109375" style="32" customWidth="1"/>
    <col min="13060" max="13060" width="19.140625" style="32" customWidth="1"/>
    <col min="13061" max="13061" width="12.28515625" style="32" customWidth="1"/>
    <col min="13062" max="13062" width="9" style="32"/>
    <col min="13063" max="13063" width="12.42578125" style="32" customWidth="1"/>
    <col min="13064" max="13065" width="8.7109375" style="32" customWidth="1"/>
    <col min="13066" max="13066" width="2.7109375" style="32" customWidth="1"/>
    <col min="13067" max="13067" width="33.140625" style="32" customWidth="1"/>
    <col min="13068" max="13069" width="8.7109375" style="32" customWidth="1"/>
    <col min="13070" max="13070" width="27.140625" style="32" customWidth="1"/>
    <col min="13071" max="13071" width="11.7109375" style="32" customWidth="1"/>
    <col min="13072" max="13072" width="13.28515625" style="32" customWidth="1"/>
    <col min="13073" max="13073" width="17.28515625" style="32" customWidth="1"/>
    <col min="13074" max="13074" width="20.7109375" style="32" customWidth="1"/>
    <col min="13075" max="13075" width="19.140625" style="32" customWidth="1"/>
    <col min="13076" max="13313" width="9" style="32"/>
    <col min="13314" max="13314" width="11.7109375" style="32" customWidth="1"/>
    <col min="13315" max="13315" width="16.7109375" style="32" customWidth="1"/>
    <col min="13316" max="13316" width="19.140625" style="32" customWidth="1"/>
    <col min="13317" max="13317" width="12.28515625" style="32" customWidth="1"/>
    <col min="13318" max="13318" width="9" style="32"/>
    <col min="13319" max="13319" width="12.42578125" style="32" customWidth="1"/>
    <col min="13320" max="13321" width="8.7109375" style="32" customWidth="1"/>
    <col min="13322" max="13322" width="2.7109375" style="32" customWidth="1"/>
    <col min="13323" max="13323" width="33.140625" style="32" customWidth="1"/>
    <col min="13324" max="13325" width="8.7109375" style="32" customWidth="1"/>
    <col min="13326" max="13326" width="27.140625" style="32" customWidth="1"/>
    <col min="13327" max="13327" width="11.7109375" style="32" customWidth="1"/>
    <col min="13328" max="13328" width="13.28515625" style="32" customWidth="1"/>
    <col min="13329" max="13329" width="17.28515625" style="32" customWidth="1"/>
    <col min="13330" max="13330" width="20.7109375" style="32" customWidth="1"/>
    <col min="13331" max="13331" width="19.140625" style="32" customWidth="1"/>
    <col min="13332" max="13569" width="9" style="32"/>
    <col min="13570" max="13570" width="11.7109375" style="32" customWidth="1"/>
    <col min="13571" max="13571" width="16.7109375" style="32" customWidth="1"/>
    <col min="13572" max="13572" width="19.140625" style="32" customWidth="1"/>
    <col min="13573" max="13573" width="12.28515625" style="32" customWidth="1"/>
    <col min="13574" max="13574" width="9" style="32"/>
    <col min="13575" max="13575" width="12.42578125" style="32" customWidth="1"/>
    <col min="13576" max="13577" width="8.7109375" style="32" customWidth="1"/>
    <col min="13578" max="13578" width="2.7109375" style="32" customWidth="1"/>
    <col min="13579" max="13579" width="33.140625" style="32" customWidth="1"/>
    <col min="13580" max="13581" width="8.7109375" style="32" customWidth="1"/>
    <col min="13582" max="13582" width="27.140625" style="32" customWidth="1"/>
    <col min="13583" max="13583" width="11.7109375" style="32" customWidth="1"/>
    <col min="13584" max="13584" width="13.28515625" style="32" customWidth="1"/>
    <col min="13585" max="13585" width="17.28515625" style="32" customWidth="1"/>
    <col min="13586" max="13586" width="20.7109375" style="32" customWidth="1"/>
    <col min="13587" max="13587" width="19.140625" style="32" customWidth="1"/>
    <col min="13588" max="13825" width="9" style="32"/>
    <col min="13826" max="13826" width="11.7109375" style="32" customWidth="1"/>
    <col min="13827" max="13827" width="16.7109375" style="32" customWidth="1"/>
    <col min="13828" max="13828" width="19.140625" style="32" customWidth="1"/>
    <col min="13829" max="13829" width="12.28515625" style="32" customWidth="1"/>
    <col min="13830" max="13830" width="9" style="32"/>
    <col min="13831" max="13831" width="12.42578125" style="32" customWidth="1"/>
    <col min="13832" max="13833" width="8.7109375" style="32" customWidth="1"/>
    <col min="13834" max="13834" width="2.7109375" style="32" customWidth="1"/>
    <col min="13835" max="13835" width="33.140625" style="32" customWidth="1"/>
    <col min="13836" max="13837" width="8.7109375" style="32" customWidth="1"/>
    <col min="13838" max="13838" width="27.140625" style="32" customWidth="1"/>
    <col min="13839" max="13839" width="11.7109375" style="32" customWidth="1"/>
    <col min="13840" max="13840" width="13.28515625" style="32" customWidth="1"/>
    <col min="13841" max="13841" width="17.28515625" style="32" customWidth="1"/>
    <col min="13842" max="13842" width="20.7109375" style="32" customWidth="1"/>
    <col min="13843" max="13843" width="19.140625" style="32" customWidth="1"/>
    <col min="13844" max="14081" width="9" style="32"/>
    <col min="14082" max="14082" width="11.7109375" style="32" customWidth="1"/>
    <col min="14083" max="14083" width="16.7109375" style="32" customWidth="1"/>
    <col min="14084" max="14084" width="19.140625" style="32" customWidth="1"/>
    <col min="14085" max="14085" width="12.28515625" style="32" customWidth="1"/>
    <col min="14086" max="14086" width="9" style="32"/>
    <col min="14087" max="14087" width="12.42578125" style="32" customWidth="1"/>
    <col min="14088" max="14089" width="8.7109375" style="32" customWidth="1"/>
    <col min="14090" max="14090" width="2.7109375" style="32" customWidth="1"/>
    <col min="14091" max="14091" width="33.140625" style="32" customWidth="1"/>
    <col min="14092" max="14093" width="8.7109375" style="32" customWidth="1"/>
    <col min="14094" max="14094" width="27.140625" style="32" customWidth="1"/>
    <col min="14095" max="14095" width="11.7109375" style="32" customWidth="1"/>
    <col min="14096" max="14096" width="13.28515625" style="32" customWidth="1"/>
    <col min="14097" max="14097" width="17.28515625" style="32" customWidth="1"/>
    <col min="14098" max="14098" width="20.7109375" style="32" customWidth="1"/>
    <col min="14099" max="14099" width="19.140625" style="32" customWidth="1"/>
    <col min="14100" max="14337" width="9" style="32"/>
    <col min="14338" max="14338" width="11.7109375" style="32" customWidth="1"/>
    <col min="14339" max="14339" width="16.7109375" style="32" customWidth="1"/>
    <col min="14340" max="14340" width="19.140625" style="32" customWidth="1"/>
    <col min="14341" max="14341" width="12.28515625" style="32" customWidth="1"/>
    <col min="14342" max="14342" width="9" style="32"/>
    <col min="14343" max="14343" width="12.42578125" style="32" customWidth="1"/>
    <col min="14344" max="14345" width="8.7109375" style="32" customWidth="1"/>
    <col min="14346" max="14346" width="2.7109375" style="32" customWidth="1"/>
    <col min="14347" max="14347" width="33.140625" style="32" customWidth="1"/>
    <col min="14348" max="14349" width="8.7109375" style="32" customWidth="1"/>
    <col min="14350" max="14350" width="27.140625" style="32" customWidth="1"/>
    <col min="14351" max="14351" width="11.7109375" style="32" customWidth="1"/>
    <col min="14352" max="14352" width="13.28515625" style="32" customWidth="1"/>
    <col min="14353" max="14353" width="17.28515625" style="32" customWidth="1"/>
    <col min="14354" max="14354" width="20.7109375" style="32" customWidth="1"/>
    <col min="14355" max="14355" width="19.140625" style="32" customWidth="1"/>
    <col min="14356" max="14593" width="9" style="32"/>
    <col min="14594" max="14594" width="11.7109375" style="32" customWidth="1"/>
    <col min="14595" max="14595" width="16.7109375" style="32" customWidth="1"/>
    <col min="14596" max="14596" width="19.140625" style="32" customWidth="1"/>
    <col min="14597" max="14597" width="12.28515625" style="32" customWidth="1"/>
    <col min="14598" max="14598" width="9" style="32"/>
    <col min="14599" max="14599" width="12.42578125" style="32" customWidth="1"/>
    <col min="14600" max="14601" width="8.7109375" style="32" customWidth="1"/>
    <col min="14602" max="14602" width="2.7109375" style="32" customWidth="1"/>
    <col min="14603" max="14603" width="33.140625" style="32" customWidth="1"/>
    <col min="14604" max="14605" width="8.7109375" style="32" customWidth="1"/>
    <col min="14606" max="14606" width="27.140625" style="32" customWidth="1"/>
    <col min="14607" max="14607" width="11.7109375" style="32" customWidth="1"/>
    <col min="14608" max="14608" width="13.28515625" style="32" customWidth="1"/>
    <col min="14609" max="14609" width="17.28515625" style="32" customWidth="1"/>
    <col min="14610" max="14610" width="20.7109375" style="32" customWidth="1"/>
    <col min="14611" max="14611" width="19.140625" style="32" customWidth="1"/>
    <col min="14612" max="14849" width="9" style="32"/>
    <col min="14850" max="14850" width="11.7109375" style="32" customWidth="1"/>
    <col min="14851" max="14851" width="16.7109375" style="32" customWidth="1"/>
    <col min="14852" max="14852" width="19.140625" style="32" customWidth="1"/>
    <col min="14853" max="14853" width="12.28515625" style="32" customWidth="1"/>
    <col min="14854" max="14854" width="9" style="32"/>
    <col min="14855" max="14855" width="12.42578125" style="32" customWidth="1"/>
    <col min="14856" max="14857" width="8.7109375" style="32" customWidth="1"/>
    <col min="14858" max="14858" width="2.7109375" style="32" customWidth="1"/>
    <col min="14859" max="14859" width="33.140625" style="32" customWidth="1"/>
    <col min="14860" max="14861" width="8.7109375" style="32" customWidth="1"/>
    <col min="14862" max="14862" width="27.140625" style="32" customWidth="1"/>
    <col min="14863" max="14863" width="11.7109375" style="32" customWidth="1"/>
    <col min="14864" max="14864" width="13.28515625" style="32" customWidth="1"/>
    <col min="14865" max="14865" width="17.28515625" style="32" customWidth="1"/>
    <col min="14866" max="14866" width="20.7109375" style="32" customWidth="1"/>
    <col min="14867" max="14867" width="19.140625" style="32" customWidth="1"/>
    <col min="14868" max="15105" width="9" style="32"/>
    <col min="15106" max="15106" width="11.7109375" style="32" customWidth="1"/>
    <col min="15107" max="15107" width="16.7109375" style="32" customWidth="1"/>
    <col min="15108" max="15108" width="19.140625" style="32" customWidth="1"/>
    <col min="15109" max="15109" width="12.28515625" style="32" customWidth="1"/>
    <col min="15110" max="15110" width="9" style="32"/>
    <col min="15111" max="15111" width="12.42578125" style="32" customWidth="1"/>
    <col min="15112" max="15113" width="8.7109375" style="32" customWidth="1"/>
    <col min="15114" max="15114" width="2.7109375" style="32" customWidth="1"/>
    <col min="15115" max="15115" width="33.140625" style="32" customWidth="1"/>
    <col min="15116" max="15117" width="8.7109375" style="32" customWidth="1"/>
    <col min="15118" max="15118" width="27.140625" style="32" customWidth="1"/>
    <col min="15119" max="15119" width="11.7109375" style="32" customWidth="1"/>
    <col min="15120" max="15120" width="13.28515625" style="32" customWidth="1"/>
    <col min="15121" max="15121" width="17.28515625" style="32" customWidth="1"/>
    <col min="15122" max="15122" width="20.7109375" style="32" customWidth="1"/>
    <col min="15123" max="15123" width="19.140625" style="32" customWidth="1"/>
    <col min="15124" max="15361" width="9" style="32"/>
    <col min="15362" max="15362" width="11.7109375" style="32" customWidth="1"/>
    <col min="15363" max="15363" width="16.7109375" style="32" customWidth="1"/>
    <col min="15364" max="15364" width="19.140625" style="32" customWidth="1"/>
    <col min="15365" max="15365" width="12.28515625" style="32" customWidth="1"/>
    <col min="15366" max="15366" width="9" style="32"/>
    <col min="15367" max="15367" width="12.42578125" style="32" customWidth="1"/>
    <col min="15368" max="15369" width="8.7109375" style="32" customWidth="1"/>
    <col min="15370" max="15370" width="2.7109375" style="32" customWidth="1"/>
    <col min="15371" max="15371" width="33.140625" style="32" customWidth="1"/>
    <col min="15372" max="15373" width="8.7109375" style="32" customWidth="1"/>
    <col min="15374" max="15374" width="27.140625" style="32" customWidth="1"/>
    <col min="15375" max="15375" width="11.7109375" style="32" customWidth="1"/>
    <col min="15376" max="15376" width="13.28515625" style="32" customWidth="1"/>
    <col min="15377" max="15377" width="17.28515625" style="32" customWidth="1"/>
    <col min="15378" max="15378" width="20.7109375" style="32" customWidth="1"/>
    <col min="15379" max="15379" width="19.140625" style="32" customWidth="1"/>
    <col min="15380" max="15617" width="9" style="32"/>
    <col min="15618" max="15618" width="11.7109375" style="32" customWidth="1"/>
    <col min="15619" max="15619" width="16.7109375" style="32" customWidth="1"/>
    <col min="15620" max="15620" width="19.140625" style="32" customWidth="1"/>
    <col min="15621" max="15621" width="12.28515625" style="32" customWidth="1"/>
    <col min="15622" max="15622" width="9" style="32"/>
    <col min="15623" max="15623" width="12.42578125" style="32" customWidth="1"/>
    <col min="15624" max="15625" width="8.7109375" style="32" customWidth="1"/>
    <col min="15626" max="15626" width="2.7109375" style="32" customWidth="1"/>
    <col min="15627" max="15627" width="33.140625" style="32" customWidth="1"/>
    <col min="15628" max="15629" width="8.7109375" style="32" customWidth="1"/>
    <col min="15630" max="15630" width="27.140625" style="32" customWidth="1"/>
    <col min="15631" max="15631" width="11.7109375" style="32" customWidth="1"/>
    <col min="15632" max="15632" width="13.28515625" style="32" customWidth="1"/>
    <col min="15633" max="15633" width="17.28515625" style="32" customWidth="1"/>
    <col min="15634" max="15634" width="20.7109375" style="32" customWidth="1"/>
    <col min="15635" max="15635" width="19.140625" style="32" customWidth="1"/>
    <col min="15636" max="15873" width="9" style="32"/>
    <col min="15874" max="15874" width="11.7109375" style="32" customWidth="1"/>
    <col min="15875" max="15875" width="16.7109375" style="32" customWidth="1"/>
    <col min="15876" max="15876" width="19.140625" style="32" customWidth="1"/>
    <col min="15877" max="15877" width="12.28515625" style="32" customWidth="1"/>
    <col min="15878" max="15878" width="9" style="32"/>
    <col min="15879" max="15879" width="12.42578125" style="32" customWidth="1"/>
    <col min="15880" max="15881" width="8.7109375" style="32" customWidth="1"/>
    <col min="15882" max="15882" width="2.7109375" style="32" customWidth="1"/>
    <col min="15883" max="15883" width="33.140625" style="32" customWidth="1"/>
    <col min="15884" max="15885" width="8.7109375" style="32" customWidth="1"/>
    <col min="15886" max="15886" width="27.140625" style="32" customWidth="1"/>
    <col min="15887" max="15887" width="11.7109375" style="32" customWidth="1"/>
    <col min="15888" max="15888" width="13.28515625" style="32" customWidth="1"/>
    <col min="15889" max="15889" width="17.28515625" style="32" customWidth="1"/>
    <col min="15890" max="15890" width="20.7109375" style="32" customWidth="1"/>
    <col min="15891" max="15891" width="19.140625" style="32" customWidth="1"/>
    <col min="15892" max="16129" width="9" style="32"/>
    <col min="16130" max="16130" width="11.7109375" style="32" customWidth="1"/>
    <col min="16131" max="16131" width="16.7109375" style="32" customWidth="1"/>
    <col min="16132" max="16132" width="19.140625" style="32" customWidth="1"/>
    <col min="16133" max="16133" width="12.28515625" style="32" customWidth="1"/>
    <col min="16134" max="16134" width="9" style="32"/>
    <col min="16135" max="16135" width="12.42578125" style="32" customWidth="1"/>
    <col min="16136" max="16137" width="8.7109375" style="32" customWidth="1"/>
    <col min="16138" max="16138" width="2.7109375" style="32" customWidth="1"/>
    <col min="16139" max="16139" width="33.140625" style="32" customWidth="1"/>
    <col min="16140" max="16141" width="8.7109375" style="32" customWidth="1"/>
    <col min="16142" max="16142" width="27.140625" style="32" customWidth="1"/>
    <col min="16143" max="16143" width="11.7109375" style="32" customWidth="1"/>
    <col min="16144" max="16144" width="13.28515625" style="32" customWidth="1"/>
    <col min="16145" max="16145" width="17.28515625" style="32" customWidth="1"/>
    <col min="16146" max="16146" width="20.7109375" style="32" customWidth="1"/>
    <col min="16147" max="16147" width="19.140625" style="32" customWidth="1"/>
    <col min="16148" max="16384" width="9" style="32"/>
  </cols>
  <sheetData>
    <row r="1" spans="1:25">
      <c r="A1" s="38"/>
      <c r="B1" s="38"/>
      <c r="C1" s="38"/>
      <c r="D1" s="38"/>
      <c r="E1" s="38"/>
      <c r="F1" s="38"/>
      <c r="G1" s="38"/>
      <c r="H1" s="38"/>
      <c r="I1" s="38"/>
      <c r="J1" s="38"/>
      <c r="K1" s="38"/>
      <c r="L1" s="38"/>
      <c r="M1" s="38"/>
      <c r="N1" s="38"/>
      <c r="O1" s="38"/>
      <c r="P1" s="38"/>
      <c r="Q1" s="38"/>
      <c r="R1" s="38"/>
      <c r="S1" s="38"/>
      <c r="T1" s="38"/>
    </row>
    <row r="2" spans="1:25" s="39" customFormat="1">
      <c r="A2" s="38"/>
      <c r="B2" s="38"/>
      <c r="C2" s="38"/>
      <c r="D2" s="38"/>
      <c r="E2" s="38"/>
      <c r="F2" s="38"/>
      <c r="G2" s="38"/>
      <c r="H2" s="38"/>
      <c r="I2" s="38"/>
      <c r="J2" s="38"/>
      <c r="K2" s="38"/>
      <c r="L2" s="38"/>
      <c r="M2" s="38"/>
      <c r="N2" s="38"/>
      <c r="O2" s="38"/>
      <c r="P2" s="38"/>
      <c r="Q2" s="38"/>
      <c r="R2" s="38"/>
      <c r="S2" s="38"/>
      <c r="T2" s="38"/>
    </row>
    <row r="3" spans="1:25" ht="15.75">
      <c r="A3" s="38"/>
      <c r="B3" s="38"/>
      <c r="C3" s="38"/>
      <c r="D3" s="38"/>
      <c r="E3" s="38"/>
      <c r="F3" s="38"/>
      <c r="G3" s="38"/>
      <c r="H3" s="38"/>
      <c r="I3" s="38"/>
      <c r="J3" s="38"/>
      <c r="K3" s="38"/>
      <c r="L3" s="38"/>
      <c r="M3" s="38"/>
      <c r="N3" s="38"/>
      <c r="O3" s="38"/>
      <c r="P3" s="11" t="s">
        <v>6</v>
      </c>
      <c r="Q3" s="760" t="str">
        <f>Cover!$F$18</f>
        <v>ELM-803-FS-0001</v>
      </c>
      <c r="R3" s="761"/>
      <c r="S3" s="38"/>
      <c r="T3" s="38"/>
    </row>
    <row r="4" spans="1:25" ht="15.75">
      <c r="A4" s="38"/>
      <c r="B4" s="38"/>
      <c r="C4" s="38"/>
      <c r="D4" s="38"/>
      <c r="E4" s="38"/>
      <c r="F4" s="38"/>
      <c r="G4" s="38"/>
      <c r="H4" s="38"/>
      <c r="I4" s="38"/>
      <c r="J4" s="38"/>
      <c r="K4" s="38"/>
      <c r="L4" s="38"/>
      <c r="M4" s="38"/>
      <c r="N4" s="38"/>
      <c r="O4" s="38"/>
      <c r="P4" s="14" t="s">
        <v>7</v>
      </c>
      <c r="Q4" s="15" t="str">
        <f>Cover!$F$19</f>
        <v>Safety Manager</v>
      </c>
      <c r="R4" s="40" t="str">
        <f>Cover!$G$19</f>
        <v>I. Kök</v>
      </c>
      <c r="S4" s="38"/>
      <c r="T4" s="38"/>
    </row>
    <row r="5" spans="1:25" ht="15.75">
      <c r="A5" s="38"/>
      <c r="B5" s="38"/>
      <c r="C5" s="38"/>
      <c r="D5" s="38"/>
      <c r="E5" s="38"/>
      <c r="F5" s="38"/>
      <c r="G5" s="38"/>
      <c r="H5" s="38"/>
      <c r="I5" s="38"/>
      <c r="J5" s="38"/>
      <c r="K5" s="38"/>
      <c r="L5" s="38"/>
      <c r="M5" s="38"/>
      <c r="N5" s="38"/>
      <c r="O5" s="38"/>
      <c r="P5" s="14" t="s">
        <v>8</v>
      </c>
      <c r="Q5" s="762" t="str">
        <f>Cover!$F$20</f>
        <v>B2</v>
      </c>
      <c r="R5" s="763"/>
      <c r="S5" s="38"/>
      <c r="T5" s="38"/>
    </row>
    <row r="6" spans="1:25" ht="15.75">
      <c r="A6" s="38"/>
      <c r="B6" s="38"/>
      <c r="C6" s="38"/>
      <c r="D6" s="38"/>
      <c r="E6" s="38"/>
      <c r="F6" s="38"/>
      <c r="G6" s="38"/>
      <c r="H6" s="38"/>
      <c r="I6" s="38"/>
      <c r="J6" s="38"/>
      <c r="K6" s="38"/>
      <c r="L6" s="38"/>
      <c r="M6" s="38"/>
      <c r="N6" s="38"/>
      <c r="O6" s="38"/>
      <c r="P6" s="20" t="s">
        <v>9</v>
      </c>
      <c r="Q6" s="764" t="str">
        <f>Cover!$F$21</f>
        <v>approved after review</v>
      </c>
      <c r="R6" s="765"/>
      <c r="S6" s="38"/>
      <c r="T6" s="38"/>
    </row>
    <row r="7" spans="1:25">
      <c r="A7" s="38"/>
      <c r="B7" s="38"/>
      <c r="C7" s="38"/>
      <c r="D7" s="38"/>
      <c r="E7" s="38"/>
      <c r="F7" s="38"/>
      <c r="G7" s="38"/>
      <c r="H7" s="38"/>
      <c r="I7" s="38"/>
      <c r="J7" s="38"/>
      <c r="K7" s="38"/>
      <c r="L7" s="38"/>
      <c r="M7" s="38"/>
      <c r="N7" s="38"/>
      <c r="O7" s="38"/>
      <c r="P7" s="38"/>
      <c r="Q7" s="38"/>
      <c r="R7" s="38"/>
      <c r="S7" s="38"/>
      <c r="T7" s="38"/>
    </row>
    <row r="8" spans="1:25" ht="15.75">
      <c r="A8" s="38"/>
      <c r="B8" s="38"/>
      <c r="C8" s="38"/>
      <c r="D8" s="38"/>
      <c r="E8" s="38"/>
      <c r="F8" s="38"/>
      <c r="G8" s="41"/>
      <c r="H8" s="41"/>
      <c r="I8" s="42"/>
      <c r="J8" s="38"/>
      <c r="K8" s="38"/>
      <c r="L8" s="38"/>
      <c r="M8" s="38"/>
      <c r="N8" s="38"/>
      <c r="O8" s="38"/>
      <c r="P8" s="38"/>
      <c r="Q8" s="38"/>
      <c r="R8" s="38"/>
      <c r="S8" s="38"/>
      <c r="T8" s="38"/>
      <c r="V8" s="39"/>
      <c r="W8" s="39"/>
      <c r="X8" s="39"/>
      <c r="Y8" s="39"/>
    </row>
    <row r="9" spans="1:25" ht="34.5" customHeight="1">
      <c r="A9" s="1021" t="s">
        <v>669</v>
      </c>
      <c r="B9" s="757"/>
      <c r="C9" s="757"/>
      <c r="D9" s="757"/>
      <c r="E9" s="757"/>
      <c r="F9" s="757"/>
      <c r="G9" s="757"/>
      <c r="H9" s="757"/>
      <c r="I9" s="757"/>
      <c r="J9" s="757"/>
      <c r="K9" s="757"/>
      <c r="L9" s="757"/>
      <c r="M9" s="757"/>
      <c r="N9" s="757"/>
      <c r="O9" s="757"/>
      <c r="P9" s="757"/>
      <c r="Q9" s="757"/>
      <c r="R9" s="757"/>
      <c r="S9" s="757"/>
      <c r="T9" s="757"/>
      <c r="V9" s="39"/>
      <c r="W9" s="39"/>
      <c r="X9" s="39"/>
      <c r="Y9" s="39"/>
    </row>
    <row r="10" spans="1:25" ht="19.5" customHeight="1">
      <c r="A10" s="43"/>
      <c r="B10" s="44"/>
      <c r="C10" s="44"/>
      <c r="D10" s="45"/>
      <c r="E10" s="45"/>
      <c r="F10" s="46"/>
      <c r="G10" s="46"/>
      <c r="H10" s="46"/>
      <c r="I10" s="46"/>
      <c r="J10" s="46"/>
      <c r="K10" s="46"/>
      <c r="L10" s="47"/>
      <c r="M10" s="47"/>
      <c r="N10" s="43"/>
      <c r="O10" s="43"/>
      <c r="P10" s="43"/>
      <c r="Q10" s="43"/>
      <c r="R10" s="43"/>
      <c r="S10" s="43"/>
      <c r="T10" s="43"/>
      <c r="V10" s="39"/>
      <c r="W10" s="39"/>
      <c r="X10" s="39"/>
      <c r="Y10" s="39"/>
    </row>
    <row r="11" spans="1:25" ht="26.25">
      <c r="A11" s="766" t="str">
        <f>Cover!A9</f>
        <v>ID803 - Vega</v>
      </c>
      <c r="B11" s="812"/>
      <c r="C11" s="812"/>
      <c r="D11" s="812"/>
      <c r="E11" s="812"/>
      <c r="F11" s="812"/>
      <c r="G11" s="812"/>
      <c r="H11" s="812"/>
      <c r="I11" s="812"/>
      <c r="J11" s="812"/>
      <c r="K11" s="812"/>
      <c r="L11" s="812"/>
      <c r="M11" s="812"/>
      <c r="N11" s="812"/>
      <c r="O11" s="812"/>
      <c r="P11" s="812"/>
      <c r="Q11" s="812"/>
      <c r="R11" s="812"/>
      <c r="S11" s="812"/>
      <c r="T11" s="813"/>
      <c r="V11" s="39"/>
      <c r="W11" s="39"/>
      <c r="X11" s="39"/>
      <c r="Y11" s="39"/>
    </row>
    <row r="12" spans="1:25">
      <c r="A12" s="38"/>
      <c r="B12" s="48"/>
      <c r="C12" s="38"/>
      <c r="D12" s="38"/>
      <c r="E12" s="38"/>
      <c r="F12" s="38"/>
      <c r="G12" s="38"/>
      <c r="H12" s="38"/>
      <c r="I12" s="38"/>
      <c r="J12" s="38"/>
      <c r="K12" s="38"/>
      <c r="L12" s="38"/>
      <c r="M12" s="38"/>
      <c r="N12" s="38"/>
      <c r="O12" s="38"/>
      <c r="P12" s="38"/>
      <c r="Q12" s="38"/>
      <c r="R12" s="38"/>
      <c r="S12" s="38"/>
      <c r="T12" s="38"/>
    </row>
    <row r="13" spans="1:25" ht="21">
      <c r="A13" s="38"/>
      <c r="B13" s="1008" t="s">
        <v>670</v>
      </c>
      <c r="C13" s="1009"/>
      <c r="D13" s="1009"/>
      <c r="E13" s="1009"/>
      <c r="F13" s="1009"/>
      <c r="G13" s="1009"/>
      <c r="H13" s="1009"/>
      <c r="I13" s="1009"/>
      <c r="J13" s="1009"/>
      <c r="K13" s="1009"/>
      <c r="L13" s="1009"/>
      <c r="M13" s="1009"/>
      <c r="N13" s="1009"/>
      <c r="O13" s="1009"/>
      <c r="P13" s="1009"/>
      <c r="Q13" s="1009"/>
      <c r="R13" s="1010"/>
      <c r="S13" s="38"/>
      <c r="T13" s="38"/>
    </row>
    <row r="14" spans="1:25" ht="47.25">
      <c r="A14" s="38"/>
      <c r="B14" s="49" t="s">
        <v>671</v>
      </c>
      <c r="C14" s="50" t="s">
        <v>672</v>
      </c>
      <c r="D14" s="50" t="s">
        <v>674</v>
      </c>
      <c r="E14" s="50" t="s">
        <v>673</v>
      </c>
      <c r="F14" s="50" t="s">
        <v>674</v>
      </c>
      <c r="G14" s="51" t="s">
        <v>675</v>
      </c>
      <c r="H14" s="1022" t="s">
        <v>676</v>
      </c>
      <c r="I14" s="1023"/>
      <c r="J14" s="1023"/>
      <c r="K14" s="1024"/>
      <c r="L14" s="1022" t="s">
        <v>809</v>
      </c>
      <c r="M14" s="1023"/>
      <c r="N14" s="1023"/>
      <c r="O14" s="1024"/>
      <c r="P14" s="50" t="s">
        <v>677</v>
      </c>
      <c r="Q14" s="50" t="s">
        <v>678</v>
      </c>
      <c r="R14" s="52" t="s">
        <v>558</v>
      </c>
      <c r="S14" s="38"/>
      <c r="T14" s="38"/>
    </row>
    <row r="15" spans="1:25" ht="54">
      <c r="A15" s="38"/>
      <c r="B15" s="53" t="s">
        <v>679</v>
      </c>
      <c r="C15" s="31" t="s">
        <v>862</v>
      </c>
      <c r="D15" s="54"/>
      <c r="E15" s="55" t="s">
        <v>937</v>
      </c>
      <c r="F15" s="56" t="s">
        <v>688</v>
      </c>
      <c r="G15" s="54" t="s">
        <v>944</v>
      </c>
      <c r="H15" s="1019" t="s">
        <v>945</v>
      </c>
      <c r="I15" s="1019"/>
      <c r="J15" s="1019"/>
      <c r="K15" s="1019"/>
      <c r="L15" s="1020" t="s">
        <v>946</v>
      </c>
      <c r="M15" s="1020"/>
      <c r="N15" s="1020"/>
      <c r="O15" s="1020"/>
      <c r="P15" s="57" t="s">
        <v>947</v>
      </c>
      <c r="Q15" s="57"/>
      <c r="R15" s="58"/>
      <c r="S15" s="38"/>
      <c r="T15" s="38"/>
    </row>
    <row r="16" spans="1:25">
      <c r="A16" s="38"/>
      <c r="B16" s="53"/>
      <c r="C16" s="31" t="s">
        <v>862</v>
      </c>
      <c r="D16" s="54"/>
      <c r="E16" s="31" t="s">
        <v>938</v>
      </c>
      <c r="F16" s="56" t="s">
        <v>688</v>
      </c>
      <c r="G16" s="54" t="s">
        <v>948</v>
      </c>
      <c r="H16" s="1019" t="s">
        <v>949</v>
      </c>
      <c r="I16" s="1019"/>
      <c r="J16" s="1019"/>
      <c r="K16" s="1019"/>
      <c r="L16" s="1020" t="s">
        <v>950</v>
      </c>
      <c r="M16" s="1020"/>
      <c r="N16" s="1020"/>
      <c r="O16" s="1020"/>
      <c r="P16" s="57" t="s">
        <v>951</v>
      </c>
      <c r="Q16" s="57"/>
      <c r="R16" s="58"/>
      <c r="S16" s="38"/>
      <c r="T16" s="38"/>
    </row>
    <row r="17" spans="1:20">
      <c r="A17" s="38"/>
      <c r="B17" s="53"/>
      <c r="C17" s="31" t="s">
        <v>862</v>
      </c>
      <c r="D17" s="54"/>
      <c r="E17" s="31" t="s">
        <v>939</v>
      </c>
      <c r="F17" s="56" t="s">
        <v>688</v>
      </c>
      <c r="G17" s="54" t="s">
        <v>952</v>
      </c>
      <c r="H17" s="1019" t="s">
        <v>952</v>
      </c>
      <c r="I17" s="1019"/>
      <c r="J17" s="1019"/>
      <c r="K17" s="1019"/>
      <c r="L17" s="1020" t="s">
        <v>952</v>
      </c>
      <c r="M17" s="1020"/>
      <c r="N17" s="1020"/>
      <c r="O17" s="1020"/>
      <c r="P17" s="57" t="s">
        <v>952</v>
      </c>
      <c r="Q17" s="57"/>
      <c r="R17" s="58"/>
      <c r="S17" s="38"/>
      <c r="T17" s="38"/>
    </row>
    <row r="18" spans="1:20" ht="27">
      <c r="A18" s="38"/>
      <c r="B18" s="53"/>
      <c r="C18" s="31" t="s">
        <v>862</v>
      </c>
      <c r="D18" s="54"/>
      <c r="E18" s="31" t="s">
        <v>940</v>
      </c>
      <c r="F18" s="56" t="s">
        <v>688</v>
      </c>
      <c r="G18" s="54" t="s">
        <v>953</v>
      </c>
      <c r="H18" s="1019" t="s">
        <v>954</v>
      </c>
      <c r="I18" s="1019"/>
      <c r="J18" s="1019"/>
      <c r="K18" s="1019"/>
      <c r="L18" s="1020" t="s">
        <v>955</v>
      </c>
      <c r="M18" s="1020"/>
      <c r="N18" s="1020"/>
      <c r="O18" s="1020"/>
      <c r="P18" s="57" t="s">
        <v>956</v>
      </c>
      <c r="Q18" s="57"/>
      <c r="R18" s="58"/>
      <c r="S18" s="38"/>
      <c r="T18" s="38"/>
    </row>
    <row r="19" spans="1:20">
      <c r="A19" s="38"/>
      <c r="B19" s="53"/>
      <c r="C19" s="31" t="s">
        <v>862</v>
      </c>
      <c r="D19" s="54"/>
      <c r="E19" s="31" t="s">
        <v>941</v>
      </c>
      <c r="F19" s="56" t="s">
        <v>688</v>
      </c>
      <c r="G19" s="54" t="s">
        <v>952</v>
      </c>
      <c r="H19" s="1019" t="s">
        <v>952</v>
      </c>
      <c r="I19" s="1019"/>
      <c r="J19" s="1019"/>
      <c r="K19" s="1019"/>
      <c r="L19" s="1020" t="s">
        <v>952</v>
      </c>
      <c r="M19" s="1020"/>
      <c r="N19" s="1020"/>
      <c r="O19" s="1020"/>
      <c r="P19" s="57" t="s">
        <v>952</v>
      </c>
      <c r="Q19" s="57"/>
      <c r="R19" s="58"/>
      <c r="S19" s="38"/>
      <c r="T19" s="38"/>
    </row>
    <row r="20" spans="1:20">
      <c r="A20" s="38"/>
      <c r="B20" s="53"/>
      <c r="C20" s="31" t="s">
        <v>862</v>
      </c>
      <c r="D20" s="54"/>
      <c r="E20" s="31" t="s">
        <v>888</v>
      </c>
      <c r="F20" s="56" t="s">
        <v>688</v>
      </c>
      <c r="G20" s="54" t="s">
        <v>952</v>
      </c>
      <c r="H20" s="1019" t="s">
        <v>952</v>
      </c>
      <c r="I20" s="1019"/>
      <c r="J20" s="1019"/>
      <c r="K20" s="1019"/>
      <c r="L20" s="1020" t="s">
        <v>952</v>
      </c>
      <c r="M20" s="1020"/>
      <c r="N20" s="1020"/>
      <c r="O20" s="1020"/>
      <c r="P20" s="57" t="s">
        <v>952</v>
      </c>
      <c r="Q20" s="57"/>
      <c r="R20" s="58"/>
      <c r="S20" s="38"/>
      <c r="T20" s="38"/>
    </row>
    <row r="21" spans="1:20">
      <c r="A21" s="38"/>
      <c r="B21" s="53"/>
      <c r="C21" s="31" t="s">
        <v>862</v>
      </c>
      <c r="D21" s="54"/>
      <c r="E21" s="31" t="s">
        <v>942</v>
      </c>
      <c r="F21" s="56" t="s">
        <v>688</v>
      </c>
      <c r="G21" s="54" t="s">
        <v>952</v>
      </c>
      <c r="H21" s="1019" t="s">
        <v>952</v>
      </c>
      <c r="I21" s="1019"/>
      <c r="J21" s="1019"/>
      <c r="K21" s="1019"/>
      <c r="L21" s="1020" t="s">
        <v>952</v>
      </c>
      <c r="M21" s="1020"/>
      <c r="N21" s="1020"/>
      <c r="O21" s="1020"/>
      <c r="P21" s="57" t="s">
        <v>952</v>
      </c>
      <c r="Q21" s="57"/>
      <c r="R21" s="58"/>
      <c r="S21" s="38"/>
      <c r="T21" s="38"/>
    </row>
    <row r="22" spans="1:20" ht="54">
      <c r="A22" s="38"/>
      <c r="B22" s="53"/>
      <c r="C22" s="31" t="s">
        <v>863</v>
      </c>
      <c r="D22" s="54"/>
      <c r="E22" s="55" t="s">
        <v>937</v>
      </c>
      <c r="F22" s="56" t="s">
        <v>688</v>
      </c>
      <c r="G22" s="54" t="s">
        <v>944</v>
      </c>
      <c r="H22" s="1019" t="s">
        <v>945</v>
      </c>
      <c r="I22" s="1019"/>
      <c r="J22" s="1019"/>
      <c r="K22" s="1019"/>
      <c r="L22" s="1020" t="s">
        <v>946</v>
      </c>
      <c r="M22" s="1020"/>
      <c r="N22" s="1020"/>
      <c r="O22" s="1020"/>
      <c r="P22" s="57" t="s">
        <v>947</v>
      </c>
      <c r="Q22" s="57"/>
      <c r="R22" s="58"/>
      <c r="S22" s="38"/>
      <c r="T22" s="38"/>
    </row>
    <row r="23" spans="1:20">
      <c r="A23" s="38"/>
      <c r="B23" s="53"/>
      <c r="C23" s="31" t="s">
        <v>863</v>
      </c>
      <c r="D23" s="54"/>
      <c r="E23" s="31" t="s">
        <v>938</v>
      </c>
      <c r="F23" s="56" t="s">
        <v>688</v>
      </c>
      <c r="G23" s="54" t="s">
        <v>948</v>
      </c>
      <c r="H23" s="1019" t="s">
        <v>949</v>
      </c>
      <c r="I23" s="1019"/>
      <c r="J23" s="1019"/>
      <c r="K23" s="1019"/>
      <c r="L23" s="1020" t="s">
        <v>950</v>
      </c>
      <c r="M23" s="1020"/>
      <c r="N23" s="1020"/>
      <c r="O23" s="1020"/>
      <c r="P23" s="57" t="s">
        <v>951</v>
      </c>
      <c r="Q23" s="57"/>
      <c r="R23" s="58"/>
      <c r="S23" s="38"/>
      <c r="T23" s="38"/>
    </row>
    <row r="24" spans="1:20">
      <c r="A24" s="38"/>
      <c r="B24" s="53"/>
      <c r="C24" s="31" t="s">
        <v>863</v>
      </c>
      <c r="D24" s="54"/>
      <c r="E24" s="31" t="s">
        <v>939</v>
      </c>
      <c r="F24" s="56" t="s">
        <v>688</v>
      </c>
      <c r="G24" s="54" t="s">
        <v>952</v>
      </c>
      <c r="H24" s="1019" t="s">
        <v>952</v>
      </c>
      <c r="I24" s="1019"/>
      <c r="J24" s="1019"/>
      <c r="K24" s="1019"/>
      <c r="L24" s="1020" t="s">
        <v>952</v>
      </c>
      <c r="M24" s="1020"/>
      <c r="N24" s="1020"/>
      <c r="O24" s="1020"/>
      <c r="P24" s="57" t="s">
        <v>952</v>
      </c>
      <c r="Q24" s="57"/>
      <c r="R24" s="58"/>
      <c r="S24" s="38"/>
      <c r="T24" s="38"/>
    </row>
    <row r="25" spans="1:20" ht="27">
      <c r="A25" s="38"/>
      <c r="B25" s="53"/>
      <c r="C25" s="31" t="s">
        <v>863</v>
      </c>
      <c r="D25" s="54"/>
      <c r="E25" s="31" t="s">
        <v>940</v>
      </c>
      <c r="F25" s="56" t="s">
        <v>688</v>
      </c>
      <c r="G25" s="54" t="s">
        <v>953</v>
      </c>
      <c r="H25" s="1019" t="s">
        <v>954</v>
      </c>
      <c r="I25" s="1019"/>
      <c r="J25" s="1019"/>
      <c r="K25" s="1019"/>
      <c r="L25" s="1020" t="s">
        <v>955</v>
      </c>
      <c r="M25" s="1020"/>
      <c r="N25" s="1020"/>
      <c r="O25" s="1020"/>
      <c r="P25" s="57" t="s">
        <v>956</v>
      </c>
      <c r="Q25" s="57"/>
      <c r="R25" s="58"/>
      <c r="S25" s="38"/>
      <c r="T25" s="38"/>
    </row>
    <row r="26" spans="1:20">
      <c r="A26" s="38"/>
      <c r="B26" s="53"/>
      <c r="C26" s="31" t="s">
        <v>863</v>
      </c>
      <c r="D26" s="54"/>
      <c r="E26" s="31" t="s">
        <v>941</v>
      </c>
      <c r="F26" s="56" t="s">
        <v>688</v>
      </c>
      <c r="G26" s="54" t="s">
        <v>952</v>
      </c>
      <c r="H26" s="1019" t="s">
        <v>952</v>
      </c>
      <c r="I26" s="1019"/>
      <c r="J26" s="1019"/>
      <c r="K26" s="1019"/>
      <c r="L26" s="1020" t="s">
        <v>952</v>
      </c>
      <c r="M26" s="1020"/>
      <c r="N26" s="1020"/>
      <c r="O26" s="1020"/>
      <c r="P26" s="57" t="s">
        <v>952</v>
      </c>
      <c r="Q26" s="57"/>
      <c r="R26" s="58"/>
      <c r="S26" s="38"/>
      <c r="T26" s="38"/>
    </row>
    <row r="27" spans="1:20">
      <c r="A27" s="38"/>
      <c r="B27" s="53"/>
      <c r="C27" s="31" t="s">
        <v>863</v>
      </c>
      <c r="D27" s="54"/>
      <c r="E27" s="31" t="s">
        <v>888</v>
      </c>
      <c r="F27" s="56" t="s">
        <v>688</v>
      </c>
      <c r="G27" s="54" t="s">
        <v>952</v>
      </c>
      <c r="H27" s="1019" t="s">
        <v>952</v>
      </c>
      <c r="I27" s="1019"/>
      <c r="J27" s="1019"/>
      <c r="K27" s="1019"/>
      <c r="L27" s="1020" t="s">
        <v>952</v>
      </c>
      <c r="M27" s="1020"/>
      <c r="N27" s="1020"/>
      <c r="O27" s="1020"/>
      <c r="P27" s="57" t="s">
        <v>952</v>
      </c>
      <c r="Q27" s="57"/>
      <c r="R27" s="58"/>
      <c r="S27" s="38"/>
      <c r="T27" s="38"/>
    </row>
    <row r="28" spans="1:20">
      <c r="A28" s="38"/>
      <c r="B28" s="53"/>
      <c r="C28" s="31" t="s">
        <v>863</v>
      </c>
      <c r="D28" s="54"/>
      <c r="E28" s="31" t="s">
        <v>942</v>
      </c>
      <c r="F28" s="56" t="s">
        <v>688</v>
      </c>
      <c r="G28" s="54" t="s">
        <v>952</v>
      </c>
      <c r="H28" s="1019" t="s">
        <v>952</v>
      </c>
      <c r="I28" s="1019"/>
      <c r="J28" s="1019"/>
      <c r="K28" s="1019"/>
      <c r="L28" s="1020" t="s">
        <v>952</v>
      </c>
      <c r="M28" s="1020"/>
      <c r="N28" s="1020"/>
      <c r="O28" s="1020"/>
      <c r="P28" s="57" t="s">
        <v>952</v>
      </c>
      <c r="Q28" s="57"/>
      <c r="R28" s="58"/>
      <c r="S28" s="38"/>
      <c r="T28" s="38"/>
    </row>
    <row r="29" spans="1:20" ht="54">
      <c r="A29" s="38"/>
      <c r="B29" s="53"/>
      <c r="C29" s="31" t="s">
        <v>864</v>
      </c>
      <c r="D29" s="54"/>
      <c r="E29" s="55" t="s">
        <v>937</v>
      </c>
      <c r="F29" s="56" t="s">
        <v>688</v>
      </c>
      <c r="G29" s="54" t="s">
        <v>944</v>
      </c>
      <c r="H29" s="1019" t="s">
        <v>945</v>
      </c>
      <c r="I29" s="1019"/>
      <c r="J29" s="1019"/>
      <c r="K29" s="1019"/>
      <c r="L29" s="1020" t="s">
        <v>946</v>
      </c>
      <c r="M29" s="1020"/>
      <c r="N29" s="1020"/>
      <c r="O29" s="1020"/>
      <c r="P29" s="57" t="s">
        <v>947</v>
      </c>
      <c r="Q29" s="57"/>
      <c r="R29" s="58"/>
      <c r="S29" s="38"/>
      <c r="T29" s="38"/>
    </row>
    <row r="30" spans="1:20">
      <c r="A30" s="38"/>
      <c r="B30" s="53"/>
      <c r="C30" s="31" t="s">
        <v>864</v>
      </c>
      <c r="D30" s="54"/>
      <c r="E30" s="31" t="s">
        <v>938</v>
      </c>
      <c r="F30" s="56" t="s">
        <v>688</v>
      </c>
      <c r="G30" s="54" t="s">
        <v>948</v>
      </c>
      <c r="H30" s="1019" t="s">
        <v>949</v>
      </c>
      <c r="I30" s="1019"/>
      <c r="J30" s="1019"/>
      <c r="K30" s="1019"/>
      <c r="L30" s="1020" t="s">
        <v>950</v>
      </c>
      <c r="M30" s="1020"/>
      <c r="N30" s="1020"/>
      <c r="O30" s="1020"/>
      <c r="P30" s="57" t="s">
        <v>951</v>
      </c>
      <c r="Q30" s="57"/>
      <c r="R30" s="58"/>
      <c r="S30" s="38"/>
      <c r="T30" s="38"/>
    </row>
    <row r="31" spans="1:20">
      <c r="A31" s="38"/>
      <c r="B31" s="53"/>
      <c r="C31" s="31" t="s">
        <v>864</v>
      </c>
      <c r="D31" s="54"/>
      <c r="E31" s="31" t="s">
        <v>939</v>
      </c>
      <c r="F31" s="56" t="s">
        <v>688</v>
      </c>
      <c r="G31" s="54" t="s">
        <v>952</v>
      </c>
      <c r="H31" s="1019" t="s">
        <v>952</v>
      </c>
      <c r="I31" s="1019"/>
      <c r="J31" s="1019"/>
      <c r="K31" s="1019"/>
      <c r="L31" s="1020" t="s">
        <v>952</v>
      </c>
      <c r="M31" s="1020"/>
      <c r="N31" s="1020"/>
      <c r="O31" s="1020"/>
      <c r="P31" s="57" t="s">
        <v>952</v>
      </c>
      <c r="Q31" s="57"/>
      <c r="R31" s="58"/>
      <c r="S31" s="38"/>
      <c r="T31" s="38"/>
    </row>
    <row r="32" spans="1:20" ht="27">
      <c r="A32" s="38"/>
      <c r="B32" s="53"/>
      <c r="C32" s="31" t="s">
        <v>864</v>
      </c>
      <c r="D32" s="54"/>
      <c r="E32" s="31" t="s">
        <v>940</v>
      </c>
      <c r="F32" s="56" t="s">
        <v>688</v>
      </c>
      <c r="G32" s="54" t="s">
        <v>953</v>
      </c>
      <c r="H32" s="1019" t="s">
        <v>954</v>
      </c>
      <c r="I32" s="1019"/>
      <c r="J32" s="1019"/>
      <c r="K32" s="1019"/>
      <c r="L32" s="1020" t="s">
        <v>955</v>
      </c>
      <c r="M32" s="1020"/>
      <c r="N32" s="1020"/>
      <c r="O32" s="1020"/>
      <c r="P32" s="57" t="s">
        <v>956</v>
      </c>
      <c r="Q32" s="57"/>
      <c r="R32" s="58"/>
      <c r="S32" s="38"/>
      <c r="T32" s="38"/>
    </row>
    <row r="33" spans="1:20">
      <c r="A33" s="38"/>
      <c r="B33" s="53"/>
      <c r="C33" s="31" t="s">
        <v>864</v>
      </c>
      <c r="D33" s="54"/>
      <c r="E33" s="31" t="s">
        <v>941</v>
      </c>
      <c r="F33" s="56" t="s">
        <v>688</v>
      </c>
      <c r="G33" s="54" t="s">
        <v>952</v>
      </c>
      <c r="H33" s="1019" t="s">
        <v>952</v>
      </c>
      <c r="I33" s="1019"/>
      <c r="J33" s="1019"/>
      <c r="K33" s="1019"/>
      <c r="L33" s="1020" t="s">
        <v>952</v>
      </c>
      <c r="M33" s="1020"/>
      <c r="N33" s="1020"/>
      <c r="O33" s="1020"/>
      <c r="P33" s="57" t="s">
        <v>952</v>
      </c>
      <c r="Q33" s="57"/>
      <c r="R33" s="58"/>
      <c r="S33" s="38"/>
      <c r="T33" s="38"/>
    </row>
    <row r="34" spans="1:20">
      <c r="A34" s="38"/>
      <c r="B34" s="53"/>
      <c r="C34" s="31" t="s">
        <v>864</v>
      </c>
      <c r="D34" s="54"/>
      <c r="E34" s="31" t="s">
        <v>888</v>
      </c>
      <c r="F34" s="56" t="s">
        <v>688</v>
      </c>
      <c r="G34" s="54" t="s">
        <v>952</v>
      </c>
      <c r="H34" s="1019" t="s">
        <v>952</v>
      </c>
      <c r="I34" s="1019"/>
      <c r="J34" s="1019"/>
      <c r="K34" s="1019"/>
      <c r="L34" s="1020" t="s">
        <v>952</v>
      </c>
      <c r="M34" s="1020"/>
      <c r="N34" s="1020"/>
      <c r="O34" s="1020"/>
      <c r="P34" s="57" t="s">
        <v>952</v>
      </c>
      <c r="Q34" s="57"/>
      <c r="R34" s="58"/>
      <c r="S34" s="38"/>
      <c r="T34" s="38"/>
    </row>
    <row r="35" spans="1:20">
      <c r="A35" s="38"/>
      <c r="B35" s="53"/>
      <c r="C35" s="31" t="s">
        <v>864</v>
      </c>
      <c r="D35" s="54"/>
      <c r="E35" s="31" t="s">
        <v>942</v>
      </c>
      <c r="F35" s="56" t="s">
        <v>688</v>
      </c>
      <c r="G35" s="54" t="s">
        <v>952</v>
      </c>
      <c r="H35" s="1019" t="s">
        <v>952</v>
      </c>
      <c r="I35" s="1019"/>
      <c r="J35" s="1019"/>
      <c r="K35" s="1019"/>
      <c r="L35" s="1020" t="s">
        <v>952</v>
      </c>
      <c r="M35" s="1020"/>
      <c r="N35" s="1020"/>
      <c r="O35" s="1020"/>
      <c r="P35" s="57" t="s">
        <v>952</v>
      </c>
      <c r="Q35" s="57"/>
      <c r="R35" s="58"/>
      <c r="S35" s="38"/>
      <c r="T35" s="38"/>
    </row>
    <row r="36" spans="1:20" ht="54">
      <c r="A36" s="38"/>
      <c r="B36" s="53"/>
      <c r="C36" s="31" t="s">
        <v>865</v>
      </c>
      <c r="D36" s="54"/>
      <c r="E36" s="55" t="s">
        <v>937</v>
      </c>
      <c r="F36" s="56" t="s">
        <v>688</v>
      </c>
      <c r="G36" s="54" t="s">
        <v>944</v>
      </c>
      <c r="H36" s="1019" t="s">
        <v>957</v>
      </c>
      <c r="I36" s="1019"/>
      <c r="J36" s="1019"/>
      <c r="K36" s="1019"/>
      <c r="L36" s="1020" t="s">
        <v>958</v>
      </c>
      <c r="M36" s="1020"/>
      <c r="N36" s="1020"/>
      <c r="O36" s="1020"/>
      <c r="P36" s="57"/>
      <c r="Q36" s="57"/>
      <c r="R36" s="58"/>
      <c r="S36" s="38"/>
      <c r="T36" s="38"/>
    </row>
    <row r="37" spans="1:20">
      <c r="A37" s="38"/>
      <c r="B37" s="53"/>
      <c r="C37" s="31" t="s">
        <v>865</v>
      </c>
      <c r="D37" s="54"/>
      <c r="E37" s="31" t="s">
        <v>938</v>
      </c>
      <c r="F37" s="56" t="s">
        <v>688</v>
      </c>
      <c r="G37" s="54" t="s">
        <v>948</v>
      </c>
      <c r="H37" s="1019" t="s">
        <v>949</v>
      </c>
      <c r="I37" s="1019"/>
      <c r="J37" s="1019"/>
      <c r="K37" s="1019"/>
      <c r="L37" s="1020" t="s">
        <v>950</v>
      </c>
      <c r="M37" s="1020"/>
      <c r="N37" s="1020"/>
      <c r="O37" s="1020"/>
      <c r="P37" s="57" t="s">
        <v>951</v>
      </c>
      <c r="Q37" s="57"/>
      <c r="R37" s="58"/>
      <c r="S37" s="38"/>
      <c r="T37" s="38"/>
    </row>
    <row r="38" spans="1:20">
      <c r="A38" s="38"/>
      <c r="B38" s="53"/>
      <c r="C38" s="31" t="s">
        <v>865</v>
      </c>
      <c r="D38" s="54"/>
      <c r="E38" s="31" t="s">
        <v>939</v>
      </c>
      <c r="F38" s="56" t="s">
        <v>688</v>
      </c>
      <c r="G38" s="54" t="s">
        <v>952</v>
      </c>
      <c r="H38" s="1019" t="s">
        <v>952</v>
      </c>
      <c r="I38" s="1019"/>
      <c r="J38" s="1019"/>
      <c r="K38" s="1019"/>
      <c r="L38" s="1020" t="s">
        <v>952</v>
      </c>
      <c r="M38" s="1020"/>
      <c r="N38" s="1020"/>
      <c r="O38" s="1020"/>
      <c r="P38" s="57" t="s">
        <v>952</v>
      </c>
      <c r="Q38" s="57"/>
      <c r="R38" s="58"/>
      <c r="S38" s="38"/>
      <c r="T38" s="38"/>
    </row>
    <row r="39" spans="1:20" ht="27">
      <c r="A39" s="38"/>
      <c r="B39" s="53"/>
      <c r="C39" s="31" t="s">
        <v>865</v>
      </c>
      <c r="D39" s="54"/>
      <c r="E39" s="31" t="s">
        <v>940</v>
      </c>
      <c r="F39" s="56" t="s">
        <v>688</v>
      </c>
      <c r="G39" s="54" t="s">
        <v>952</v>
      </c>
      <c r="H39" s="1019" t="s">
        <v>952</v>
      </c>
      <c r="I39" s="1019"/>
      <c r="J39" s="1019"/>
      <c r="K39" s="1019"/>
      <c r="L39" s="1020" t="s">
        <v>952</v>
      </c>
      <c r="M39" s="1020"/>
      <c r="N39" s="1020"/>
      <c r="O39" s="1020"/>
      <c r="P39" s="57" t="s">
        <v>952</v>
      </c>
      <c r="Q39" s="57"/>
      <c r="R39" s="58"/>
      <c r="S39" s="38"/>
      <c r="T39" s="38"/>
    </row>
    <row r="40" spans="1:20">
      <c r="A40" s="38"/>
      <c r="B40" s="53"/>
      <c r="C40" s="31" t="s">
        <v>865</v>
      </c>
      <c r="D40" s="54"/>
      <c r="E40" s="31" t="s">
        <v>941</v>
      </c>
      <c r="F40" s="56" t="s">
        <v>688</v>
      </c>
      <c r="G40" s="54" t="s">
        <v>952</v>
      </c>
      <c r="H40" s="1019" t="s">
        <v>952</v>
      </c>
      <c r="I40" s="1019"/>
      <c r="J40" s="1019"/>
      <c r="K40" s="1019"/>
      <c r="L40" s="1020" t="s">
        <v>952</v>
      </c>
      <c r="M40" s="1020"/>
      <c r="N40" s="1020"/>
      <c r="O40" s="1020"/>
      <c r="P40" s="57" t="s">
        <v>952</v>
      </c>
      <c r="Q40" s="57"/>
      <c r="R40" s="58"/>
      <c r="S40" s="38"/>
      <c r="T40" s="38"/>
    </row>
    <row r="41" spans="1:20" ht="24">
      <c r="A41" s="38"/>
      <c r="B41" s="53"/>
      <c r="C41" s="31" t="s">
        <v>865</v>
      </c>
      <c r="D41" s="54"/>
      <c r="E41" s="31" t="s">
        <v>888</v>
      </c>
      <c r="F41" s="56" t="s">
        <v>688</v>
      </c>
      <c r="G41" s="54" t="s">
        <v>959</v>
      </c>
      <c r="H41" s="1019" t="s">
        <v>960</v>
      </c>
      <c r="I41" s="1019"/>
      <c r="J41" s="1019"/>
      <c r="K41" s="1019"/>
      <c r="L41" s="1020" t="s">
        <v>961</v>
      </c>
      <c r="M41" s="1020"/>
      <c r="N41" s="1020"/>
      <c r="O41" s="1020"/>
      <c r="P41" s="57" t="s">
        <v>961</v>
      </c>
      <c r="Q41" s="57"/>
      <c r="R41" s="58"/>
      <c r="S41" s="38"/>
      <c r="T41" s="38"/>
    </row>
    <row r="42" spans="1:20">
      <c r="A42" s="38"/>
      <c r="B42" s="53"/>
      <c r="C42" s="31" t="s">
        <v>865</v>
      </c>
      <c r="D42" s="54"/>
      <c r="E42" s="31" t="s">
        <v>942</v>
      </c>
      <c r="F42" s="56" t="s">
        <v>688</v>
      </c>
      <c r="G42" s="54" t="s">
        <v>952</v>
      </c>
      <c r="H42" s="1019" t="s">
        <v>952</v>
      </c>
      <c r="I42" s="1019"/>
      <c r="J42" s="1019"/>
      <c r="K42" s="1019"/>
      <c r="L42" s="1020" t="s">
        <v>952</v>
      </c>
      <c r="M42" s="1020"/>
      <c r="N42" s="1020"/>
      <c r="O42" s="1020"/>
      <c r="P42" s="57" t="s">
        <v>952</v>
      </c>
      <c r="Q42" s="57"/>
      <c r="R42" s="58"/>
      <c r="S42" s="38"/>
      <c r="T42" s="38"/>
    </row>
    <row r="43" spans="1:20" ht="54">
      <c r="A43" s="38"/>
      <c r="B43" s="53"/>
      <c r="C43" s="31" t="s">
        <v>866</v>
      </c>
      <c r="D43" s="54"/>
      <c r="E43" s="55" t="s">
        <v>937</v>
      </c>
      <c r="F43" s="56" t="s">
        <v>688</v>
      </c>
      <c r="G43" s="54" t="s">
        <v>944</v>
      </c>
      <c r="H43" s="1019" t="s">
        <v>945</v>
      </c>
      <c r="I43" s="1019"/>
      <c r="J43" s="1019"/>
      <c r="K43" s="1019"/>
      <c r="L43" s="1020" t="s">
        <v>962</v>
      </c>
      <c r="M43" s="1020"/>
      <c r="N43" s="1020"/>
      <c r="O43" s="1020"/>
      <c r="P43" s="57" t="s">
        <v>947</v>
      </c>
      <c r="Q43" s="57"/>
      <c r="R43" s="58"/>
      <c r="S43" s="38"/>
      <c r="T43" s="38"/>
    </row>
    <row r="44" spans="1:20">
      <c r="A44" s="38"/>
      <c r="B44" s="53"/>
      <c r="C44" s="31" t="s">
        <v>866</v>
      </c>
      <c r="D44" s="54"/>
      <c r="E44" s="31" t="s">
        <v>938</v>
      </c>
      <c r="F44" s="56" t="s">
        <v>688</v>
      </c>
      <c r="G44" s="54" t="s">
        <v>948</v>
      </c>
      <c r="H44" s="1019" t="s">
        <v>949</v>
      </c>
      <c r="I44" s="1019"/>
      <c r="J44" s="1019"/>
      <c r="K44" s="1019"/>
      <c r="L44" s="1020" t="s">
        <v>950</v>
      </c>
      <c r="M44" s="1020"/>
      <c r="N44" s="1020"/>
      <c r="O44" s="1020"/>
      <c r="P44" s="57" t="s">
        <v>951</v>
      </c>
      <c r="Q44" s="57"/>
      <c r="R44" s="58"/>
      <c r="S44" s="38"/>
      <c r="T44" s="38"/>
    </row>
    <row r="45" spans="1:20">
      <c r="A45" s="38"/>
      <c r="B45" s="53"/>
      <c r="C45" s="31" t="s">
        <v>866</v>
      </c>
      <c r="D45" s="54"/>
      <c r="E45" s="31" t="s">
        <v>939</v>
      </c>
      <c r="F45" s="56" t="s">
        <v>688</v>
      </c>
      <c r="G45" s="54" t="s">
        <v>952</v>
      </c>
      <c r="H45" s="1019" t="s">
        <v>952</v>
      </c>
      <c r="I45" s="1019"/>
      <c r="J45" s="1019"/>
      <c r="K45" s="1019"/>
      <c r="L45" s="1020" t="s">
        <v>952</v>
      </c>
      <c r="M45" s="1020"/>
      <c r="N45" s="1020"/>
      <c r="O45" s="1020"/>
      <c r="P45" s="57" t="s">
        <v>952</v>
      </c>
      <c r="Q45" s="57"/>
      <c r="R45" s="58"/>
      <c r="S45" s="38"/>
      <c r="T45" s="38"/>
    </row>
    <row r="46" spans="1:20" ht="27">
      <c r="A46" s="38"/>
      <c r="B46" s="53"/>
      <c r="C46" s="31" t="s">
        <v>866</v>
      </c>
      <c r="D46" s="54"/>
      <c r="E46" s="31" t="s">
        <v>940</v>
      </c>
      <c r="F46" s="56" t="s">
        <v>688</v>
      </c>
      <c r="G46" s="54" t="s">
        <v>953</v>
      </c>
      <c r="H46" s="1019" t="s">
        <v>954</v>
      </c>
      <c r="I46" s="1019"/>
      <c r="J46" s="1019"/>
      <c r="K46" s="1019"/>
      <c r="L46" s="1020" t="s">
        <v>955</v>
      </c>
      <c r="M46" s="1020"/>
      <c r="N46" s="1020"/>
      <c r="O46" s="1020"/>
      <c r="P46" s="57" t="s">
        <v>963</v>
      </c>
      <c r="Q46" s="57"/>
      <c r="R46" s="58"/>
      <c r="S46" s="38"/>
      <c r="T46" s="38"/>
    </row>
    <row r="47" spans="1:20">
      <c r="A47" s="38"/>
      <c r="B47" s="53"/>
      <c r="C47" s="31" t="s">
        <v>866</v>
      </c>
      <c r="D47" s="54"/>
      <c r="E47" s="31" t="s">
        <v>941</v>
      </c>
      <c r="F47" s="56" t="s">
        <v>688</v>
      </c>
      <c r="G47" s="54" t="s">
        <v>952</v>
      </c>
      <c r="H47" s="1019" t="s">
        <v>952</v>
      </c>
      <c r="I47" s="1019"/>
      <c r="J47" s="1019"/>
      <c r="K47" s="1019"/>
      <c r="L47" s="1020" t="s">
        <v>952</v>
      </c>
      <c r="M47" s="1020"/>
      <c r="N47" s="1020"/>
      <c r="O47" s="1020"/>
      <c r="P47" s="57" t="s">
        <v>952</v>
      </c>
      <c r="Q47" s="57"/>
      <c r="R47" s="58"/>
      <c r="S47" s="38"/>
      <c r="T47" s="38"/>
    </row>
    <row r="48" spans="1:20">
      <c r="A48" s="38"/>
      <c r="B48" s="53"/>
      <c r="C48" s="31" t="s">
        <v>866</v>
      </c>
      <c r="D48" s="54"/>
      <c r="E48" s="31" t="s">
        <v>888</v>
      </c>
      <c r="F48" s="56" t="s">
        <v>688</v>
      </c>
      <c r="G48" s="54" t="s">
        <v>952</v>
      </c>
      <c r="H48" s="1019" t="s">
        <v>952</v>
      </c>
      <c r="I48" s="1019"/>
      <c r="J48" s="1019"/>
      <c r="K48" s="1019"/>
      <c r="L48" s="1020" t="s">
        <v>952</v>
      </c>
      <c r="M48" s="1020"/>
      <c r="N48" s="1020"/>
      <c r="O48" s="1020"/>
      <c r="P48" s="57" t="s">
        <v>952</v>
      </c>
      <c r="Q48" s="57"/>
      <c r="R48" s="58"/>
      <c r="S48" s="38"/>
      <c r="T48" s="38"/>
    </row>
    <row r="49" spans="1:20">
      <c r="A49" s="38"/>
      <c r="B49" s="53"/>
      <c r="C49" s="31" t="s">
        <v>866</v>
      </c>
      <c r="D49" s="54"/>
      <c r="E49" s="31" t="s">
        <v>942</v>
      </c>
      <c r="F49" s="56" t="s">
        <v>688</v>
      </c>
      <c r="G49" s="54" t="s">
        <v>952</v>
      </c>
      <c r="H49" s="1019" t="s">
        <v>952</v>
      </c>
      <c r="I49" s="1019"/>
      <c r="J49" s="1019"/>
      <c r="K49" s="1019"/>
      <c r="L49" s="1020" t="s">
        <v>952</v>
      </c>
      <c r="M49" s="1020"/>
      <c r="N49" s="1020"/>
      <c r="O49" s="1020"/>
      <c r="P49" s="57" t="s">
        <v>952</v>
      </c>
      <c r="Q49" s="57"/>
      <c r="R49" s="58"/>
      <c r="S49" s="38"/>
      <c r="T49" s="38"/>
    </row>
    <row r="50" spans="1:20" ht="54">
      <c r="A50" s="38"/>
      <c r="B50" s="53"/>
      <c r="C50" s="31" t="s">
        <v>867</v>
      </c>
      <c r="D50" s="54"/>
      <c r="E50" s="55" t="s">
        <v>937</v>
      </c>
      <c r="F50" s="56" t="s">
        <v>688</v>
      </c>
      <c r="G50" s="54" t="s">
        <v>944</v>
      </c>
      <c r="H50" s="1019" t="s">
        <v>945</v>
      </c>
      <c r="I50" s="1019"/>
      <c r="J50" s="1019"/>
      <c r="K50" s="1019"/>
      <c r="L50" s="1020" t="s">
        <v>962</v>
      </c>
      <c r="M50" s="1020"/>
      <c r="N50" s="1020"/>
      <c r="O50" s="1020"/>
      <c r="P50" s="57" t="s">
        <v>947</v>
      </c>
      <c r="Q50" s="57"/>
      <c r="R50" s="58"/>
      <c r="S50" s="38"/>
      <c r="T50" s="38"/>
    </row>
    <row r="51" spans="1:20">
      <c r="A51" s="38"/>
      <c r="B51" s="53"/>
      <c r="C51" s="31" t="s">
        <v>867</v>
      </c>
      <c r="D51" s="54"/>
      <c r="E51" s="31" t="s">
        <v>938</v>
      </c>
      <c r="F51" s="56" t="s">
        <v>688</v>
      </c>
      <c r="G51" s="54" t="s">
        <v>948</v>
      </c>
      <c r="H51" s="1019" t="s">
        <v>949</v>
      </c>
      <c r="I51" s="1019"/>
      <c r="J51" s="1019"/>
      <c r="K51" s="1019"/>
      <c r="L51" s="1020" t="s">
        <v>950</v>
      </c>
      <c r="M51" s="1020"/>
      <c r="N51" s="1020"/>
      <c r="O51" s="1020"/>
      <c r="P51" s="57" t="s">
        <v>951</v>
      </c>
      <c r="Q51" s="57"/>
      <c r="R51" s="58"/>
      <c r="S51" s="38"/>
      <c r="T51" s="38"/>
    </row>
    <row r="52" spans="1:20">
      <c r="A52" s="38"/>
      <c r="B52" s="53"/>
      <c r="C52" s="31" t="s">
        <v>867</v>
      </c>
      <c r="D52" s="54"/>
      <c r="E52" s="31" t="s">
        <v>939</v>
      </c>
      <c r="F52" s="56" t="s">
        <v>688</v>
      </c>
      <c r="G52" s="54" t="s">
        <v>952</v>
      </c>
      <c r="H52" s="1019" t="s">
        <v>952</v>
      </c>
      <c r="I52" s="1019"/>
      <c r="J52" s="1019"/>
      <c r="K52" s="1019"/>
      <c r="L52" s="1020" t="s">
        <v>952</v>
      </c>
      <c r="M52" s="1020"/>
      <c r="N52" s="1020"/>
      <c r="O52" s="1020"/>
      <c r="P52" s="57" t="s">
        <v>952</v>
      </c>
      <c r="Q52" s="57"/>
      <c r="R52" s="58"/>
      <c r="S52" s="38"/>
      <c r="T52" s="38"/>
    </row>
    <row r="53" spans="1:20" ht="27">
      <c r="A53" s="38"/>
      <c r="B53" s="53"/>
      <c r="C53" s="31" t="s">
        <v>867</v>
      </c>
      <c r="D53" s="54"/>
      <c r="E53" s="31" t="s">
        <v>940</v>
      </c>
      <c r="F53" s="56" t="s">
        <v>688</v>
      </c>
      <c r="G53" s="54" t="s">
        <v>953</v>
      </c>
      <c r="H53" s="1019" t="s">
        <v>954</v>
      </c>
      <c r="I53" s="1019"/>
      <c r="J53" s="1019"/>
      <c r="K53" s="1019"/>
      <c r="L53" s="1020" t="s">
        <v>955</v>
      </c>
      <c r="M53" s="1020"/>
      <c r="N53" s="1020"/>
      <c r="O53" s="1020"/>
      <c r="P53" s="57" t="s">
        <v>963</v>
      </c>
      <c r="Q53" s="57"/>
      <c r="R53" s="58"/>
      <c r="S53" s="38"/>
      <c r="T53" s="38"/>
    </row>
    <row r="54" spans="1:20">
      <c r="A54" s="38"/>
      <c r="B54" s="53"/>
      <c r="C54" s="31" t="s">
        <v>867</v>
      </c>
      <c r="D54" s="54"/>
      <c r="E54" s="31" t="s">
        <v>941</v>
      </c>
      <c r="F54" s="56" t="s">
        <v>688</v>
      </c>
      <c r="G54" s="54" t="s">
        <v>952</v>
      </c>
      <c r="H54" s="1019" t="s">
        <v>952</v>
      </c>
      <c r="I54" s="1019"/>
      <c r="J54" s="1019"/>
      <c r="K54" s="1019"/>
      <c r="L54" s="1020" t="s">
        <v>952</v>
      </c>
      <c r="M54" s="1020"/>
      <c r="N54" s="1020"/>
      <c r="O54" s="1020"/>
      <c r="P54" s="57" t="s">
        <v>952</v>
      </c>
      <c r="Q54" s="57"/>
      <c r="R54" s="58"/>
      <c r="S54" s="38"/>
      <c r="T54" s="38"/>
    </row>
    <row r="55" spans="1:20">
      <c r="A55" s="38"/>
      <c r="B55" s="53"/>
      <c r="C55" s="31" t="s">
        <v>867</v>
      </c>
      <c r="D55" s="54"/>
      <c r="E55" s="31" t="s">
        <v>888</v>
      </c>
      <c r="F55" s="56" t="s">
        <v>688</v>
      </c>
      <c r="G55" s="54" t="s">
        <v>988</v>
      </c>
      <c r="H55" s="1019" t="s">
        <v>996</v>
      </c>
      <c r="I55" s="1019"/>
      <c r="J55" s="1019"/>
      <c r="K55" s="1019"/>
      <c r="L55" s="1020" t="s">
        <v>997</v>
      </c>
      <c r="M55" s="1020"/>
      <c r="N55" s="1020"/>
      <c r="O55" s="1020"/>
      <c r="P55" s="57" t="s">
        <v>998</v>
      </c>
      <c r="Q55" s="57"/>
      <c r="R55" s="58"/>
      <c r="S55" s="38"/>
      <c r="T55" s="38"/>
    </row>
    <row r="56" spans="1:20">
      <c r="A56" s="38"/>
      <c r="B56" s="53"/>
      <c r="C56" s="31" t="s">
        <v>867</v>
      </c>
      <c r="D56" s="54"/>
      <c r="E56" s="31" t="s">
        <v>942</v>
      </c>
      <c r="F56" s="56" t="s">
        <v>688</v>
      </c>
      <c r="G56" s="54" t="s">
        <v>952</v>
      </c>
      <c r="H56" s="1019" t="s">
        <v>952</v>
      </c>
      <c r="I56" s="1019"/>
      <c r="J56" s="1019"/>
      <c r="K56" s="1019"/>
      <c r="L56" s="1020" t="s">
        <v>952</v>
      </c>
      <c r="M56" s="1020"/>
      <c r="N56" s="1020"/>
      <c r="O56" s="1020"/>
      <c r="P56" s="57" t="s">
        <v>952</v>
      </c>
      <c r="Q56" s="57"/>
      <c r="R56" s="58"/>
      <c r="S56" s="38"/>
      <c r="T56" s="38"/>
    </row>
    <row r="57" spans="1:20" ht="54">
      <c r="A57" s="38"/>
      <c r="B57" s="53"/>
      <c r="C57" s="31" t="s">
        <v>868</v>
      </c>
      <c r="D57" s="54"/>
      <c r="E57" s="55" t="s">
        <v>937</v>
      </c>
      <c r="F57" s="56" t="s">
        <v>688</v>
      </c>
      <c r="G57" s="54" t="s">
        <v>944</v>
      </c>
      <c r="H57" s="1019" t="s">
        <v>964</v>
      </c>
      <c r="I57" s="1019"/>
      <c r="J57" s="1019"/>
      <c r="K57" s="1019"/>
      <c r="L57" s="1020" t="s">
        <v>965</v>
      </c>
      <c r="M57" s="1020"/>
      <c r="N57" s="1020"/>
      <c r="O57" s="1020"/>
      <c r="P57" s="57" t="s">
        <v>966</v>
      </c>
      <c r="Q57" s="57"/>
      <c r="R57" s="58"/>
      <c r="S57" s="38"/>
      <c r="T57" s="38"/>
    </row>
    <row r="58" spans="1:20">
      <c r="A58" s="38"/>
      <c r="B58" s="53"/>
      <c r="C58" s="31" t="s">
        <v>868</v>
      </c>
      <c r="D58" s="54"/>
      <c r="E58" s="31" t="s">
        <v>938</v>
      </c>
      <c r="F58" s="56" t="s">
        <v>688</v>
      </c>
      <c r="G58" s="54" t="s">
        <v>948</v>
      </c>
      <c r="H58" s="1019" t="s">
        <v>949</v>
      </c>
      <c r="I58" s="1019"/>
      <c r="J58" s="1019"/>
      <c r="K58" s="1019"/>
      <c r="L58" s="1020" t="s">
        <v>950</v>
      </c>
      <c r="M58" s="1020"/>
      <c r="N58" s="1020"/>
      <c r="O58" s="1020"/>
      <c r="P58" s="57" t="s">
        <v>951</v>
      </c>
      <c r="Q58" s="57"/>
      <c r="R58" s="58"/>
      <c r="S58" s="38"/>
      <c r="T58" s="38"/>
    </row>
    <row r="59" spans="1:20">
      <c r="A59" s="38"/>
      <c r="B59" s="53"/>
      <c r="C59" s="31" t="s">
        <v>868</v>
      </c>
      <c r="D59" s="54"/>
      <c r="E59" s="31" t="s">
        <v>939</v>
      </c>
      <c r="F59" s="56" t="s">
        <v>688</v>
      </c>
      <c r="G59" s="54" t="s">
        <v>952</v>
      </c>
      <c r="H59" s="1019" t="s">
        <v>952</v>
      </c>
      <c r="I59" s="1019"/>
      <c r="J59" s="1019"/>
      <c r="K59" s="1019"/>
      <c r="L59" s="1020" t="s">
        <v>952</v>
      </c>
      <c r="M59" s="1020"/>
      <c r="N59" s="1020"/>
      <c r="O59" s="1020"/>
      <c r="P59" s="57" t="s">
        <v>952</v>
      </c>
      <c r="Q59" s="57"/>
      <c r="R59" s="58"/>
      <c r="S59" s="38"/>
      <c r="T59" s="38"/>
    </row>
    <row r="60" spans="1:20" ht="27">
      <c r="A60" s="38"/>
      <c r="B60" s="53"/>
      <c r="C60" s="31" t="s">
        <v>868</v>
      </c>
      <c r="D60" s="54"/>
      <c r="E60" s="31" t="s">
        <v>940</v>
      </c>
      <c r="F60" s="56" t="s">
        <v>688</v>
      </c>
      <c r="G60" s="54" t="s">
        <v>953</v>
      </c>
      <c r="H60" s="1019" t="s">
        <v>954</v>
      </c>
      <c r="I60" s="1019"/>
      <c r="J60" s="1019"/>
      <c r="K60" s="1019"/>
      <c r="L60" s="1020" t="s">
        <v>955</v>
      </c>
      <c r="M60" s="1020"/>
      <c r="N60" s="1020"/>
      <c r="O60" s="1020"/>
      <c r="P60" s="57" t="s">
        <v>963</v>
      </c>
      <c r="Q60" s="57"/>
      <c r="R60" s="58"/>
      <c r="S60" s="38"/>
      <c r="T60" s="38"/>
    </row>
    <row r="61" spans="1:20">
      <c r="A61" s="38"/>
      <c r="B61" s="53"/>
      <c r="C61" s="31" t="s">
        <v>868</v>
      </c>
      <c r="D61" s="54"/>
      <c r="E61" s="31" t="s">
        <v>941</v>
      </c>
      <c r="F61" s="56" t="s">
        <v>688</v>
      </c>
      <c r="G61" s="54" t="s">
        <v>952</v>
      </c>
      <c r="H61" s="1019" t="s">
        <v>952</v>
      </c>
      <c r="I61" s="1019"/>
      <c r="J61" s="1019"/>
      <c r="K61" s="1019"/>
      <c r="L61" s="1020" t="s">
        <v>952</v>
      </c>
      <c r="M61" s="1020"/>
      <c r="N61" s="1020"/>
      <c r="O61" s="1020"/>
      <c r="P61" s="57" t="s">
        <v>952</v>
      </c>
      <c r="Q61" s="57"/>
      <c r="R61" s="58"/>
      <c r="S61" s="38"/>
      <c r="T61" s="38"/>
    </row>
    <row r="62" spans="1:20" ht="24">
      <c r="A62" s="38"/>
      <c r="B62" s="53"/>
      <c r="C62" s="31" t="s">
        <v>868</v>
      </c>
      <c r="D62" s="54"/>
      <c r="E62" s="31" t="s">
        <v>888</v>
      </c>
      <c r="F62" s="56" t="s">
        <v>688</v>
      </c>
      <c r="G62" s="54" t="s">
        <v>959</v>
      </c>
      <c r="H62" s="1019" t="s">
        <v>967</v>
      </c>
      <c r="I62" s="1019"/>
      <c r="J62" s="1019"/>
      <c r="K62" s="1019"/>
      <c r="L62" s="1020" t="s">
        <v>961</v>
      </c>
      <c r="M62" s="1020"/>
      <c r="N62" s="1020"/>
      <c r="O62" s="1020"/>
      <c r="P62" s="57" t="s">
        <v>961</v>
      </c>
      <c r="Q62" s="57"/>
      <c r="R62" s="58"/>
      <c r="S62" s="38"/>
      <c r="T62" s="38"/>
    </row>
    <row r="63" spans="1:20">
      <c r="A63" s="38"/>
      <c r="B63" s="53"/>
      <c r="C63" s="31" t="s">
        <v>868</v>
      </c>
      <c r="D63" s="54"/>
      <c r="E63" s="31" t="s">
        <v>942</v>
      </c>
      <c r="F63" s="56" t="s">
        <v>688</v>
      </c>
      <c r="G63" s="54" t="s">
        <v>952</v>
      </c>
      <c r="H63" s="1019" t="s">
        <v>952</v>
      </c>
      <c r="I63" s="1019"/>
      <c r="J63" s="1019"/>
      <c r="K63" s="1019"/>
      <c r="L63" s="1020" t="s">
        <v>952</v>
      </c>
      <c r="M63" s="1020"/>
      <c r="N63" s="1020"/>
      <c r="O63" s="1020"/>
      <c r="P63" s="57" t="s">
        <v>952</v>
      </c>
      <c r="Q63" s="57"/>
      <c r="R63" s="58"/>
      <c r="S63" s="38"/>
      <c r="T63" s="38"/>
    </row>
    <row r="64" spans="1:20" ht="54">
      <c r="A64" s="38"/>
      <c r="B64" s="53"/>
      <c r="C64" s="31" t="s">
        <v>869</v>
      </c>
      <c r="D64" s="54"/>
      <c r="E64" s="55" t="s">
        <v>937</v>
      </c>
      <c r="F64" s="56" t="s">
        <v>688</v>
      </c>
      <c r="G64" s="54" t="s">
        <v>944</v>
      </c>
      <c r="H64" s="1019" t="s">
        <v>999</v>
      </c>
      <c r="I64" s="1019"/>
      <c r="J64" s="1019"/>
      <c r="K64" s="1019"/>
      <c r="L64" s="1020" t="s">
        <v>1001</v>
      </c>
      <c r="M64" s="1020"/>
      <c r="N64" s="1020"/>
      <c r="O64" s="1020"/>
      <c r="P64" s="57" t="s">
        <v>1000</v>
      </c>
      <c r="Q64" s="57"/>
      <c r="R64" s="58"/>
      <c r="S64" s="38"/>
      <c r="T64" s="38"/>
    </row>
    <row r="65" spans="1:20">
      <c r="A65" s="38"/>
      <c r="B65" s="53"/>
      <c r="C65" s="31" t="s">
        <v>869</v>
      </c>
      <c r="D65" s="54"/>
      <c r="E65" s="31" t="s">
        <v>938</v>
      </c>
      <c r="F65" s="56" t="s">
        <v>688</v>
      </c>
      <c r="G65" s="54" t="s">
        <v>948</v>
      </c>
      <c r="H65" s="1019" t="s">
        <v>1002</v>
      </c>
      <c r="I65" s="1019"/>
      <c r="J65" s="1019"/>
      <c r="K65" s="1019"/>
      <c r="L65" s="1020" t="s">
        <v>950</v>
      </c>
      <c r="M65" s="1020"/>
      <c r="N65" s="1020"/>
      <c r="O65" s="1020"/>
      <c r="P65" s="57" t="s">
        <v>951</v>
      </c>
      <c r="Q65" s="57"/>
      <c r="R65" s="58"/>
      <c r="S65" s="38"/>
      <c r="T65" s="38"/>
    </row>
    <row r="66" spans="1:20">
      <c r="A66" s="38"/>
      <c r="B66" s="53"/>
      <c r="C66" s="31" t="s">
        <v>869</v>
      </c>
      <c r="D66" s="54"/>
      <c r="E66" s="31" t="s">
        <v>939</v>
      </c>
      <c r="F66" s="56" t="s">
        <v>688</v>
      </c>
      <c r="G66" s="54" t="s">
        <v>952</v>
      </c>
      <c r="H66" s="1019" t="s">
        <v>952</v>
      </c>
      <c r="I66" s="1019"/>
      <c r="J66" s="1019"/>
      <c r="K66" s="1019"/>
      <c r="L66" s="1020" t="s">
        <v>952</v>
      </c>
      <c r="M66" s="1020"/>
      <c r="N66" s="1020"/>
      <c r="O66" s="1020"/>
      <c r="P66" s="57" t="s">
        <v>952</v>
      </c>
      <c r="Q66" s="57"/>
      <c r="R66" s="58"/>
      <c r="S66" s="38"/>
      <c r="T66" s="38"/>
    </row>
    <row r="67" spans="1:20" ht="27">
      <c r="A67" s="38"/>
      <c r="B67" s="53"/>
      <c r="C67" s="31" t="s">
        <v>869</v>
      </c>
      <c r="D67" s="54"/>
      <c r="E67" s="31" t="s">
        <v>940</v>
      </c>
      <c r="F67" s="56" t="s">
        <v>688</v>
      </c>
      <c r="G67" s="54" t="s">
        <v>953</v>
      </c>
      <c r="H67" s="1019" t="s">
        <v>954</v>
      </c>
      <c r="I67" s="1019"/>
      <c r="J67" s="1019"/>
      <c r="K67" s="1019"/>
      <c r="L67" s="1020" t="s">
        <v>955</v>
      </c>
      <c r="M67" s="1020"/>
      <c r="N67" s="1020"/>
      <c r="O67" s="1020"/>
      <c r="P67" s="57" t="s">
        <v>963</v>
      </c>
      <c r="Q67" s="57"/>
      <c r="R67" s="58"/>
      <c r="S67" s="38"/>
      <c r="T67" s="38"/>
    </row>
    <row r="68" spans="1:20">
      <c r="A68" s="38"/>
      <c r="B68" s="53"/>
      <c r="C68" s="31" t="s">
        <v>869</v>
      </c>
      <c r="D68" s="54"/>
      <c r="E68" s="31" t="s">
        <v>941</v>
      </c>
      <c r="F68" s="56" t="s">
        <v>688</v>
      </c>
      <c r="G68" s="54" t="s">
        <v>952</v>
      </c>
      <c r="H68" s="1019" t="s">
        <v>952</v>
      </c>
      <c r="I68" s="1019"/>
      <c r="J68" s="1019"/>
      <c r="K68" s="1019"/>
      <c r="L68" s="1020" t="s">
        <v>952</v>
      </c>
      <c r="M68" s="1020"/>
      <c r="N68" s="1020"/>
      <c r="O68" s="1020"/>
      <c r="P68" s="57" t="s">
        <v>952</v>
      </c>
      <c r="Q68" s="57"/>
      <c r="R68" s="58"/>
      <c r="S68" s="38"/>
      <c r="T68" s="38"/>
    </row>
    <row r="69" spans="1:20" ht="24">
      <c r="A69" s="38"/>
      <c r="B69" s="53"/>
      <c r="C69" s="31" t="s">
        <v>869</v>
      </c>
      <c r="D69" s="54"/>
      <c r="E69" s="31" t="s">
        <v>888</v>
      </c>
      <c r="F69" s="56" t="s">
        <v>688</v>
      </c>
      <c r="G69" s="54" t="s">
        <v>959</v>
      </c>
      <c r="H69" s="1019" t="s">
        <v>1003</v>
      </c>
      <c r="I69" s="1019"/>
      <c r="J69" s="1019"/>
      <c r="K69" s="1019"/>
      <c r="L69" s="1020" t="s">
        <v>1004</v>
      </c>
      <c r="M69" s="1020"/>
      <c r="N69" s="1020"/>
      <c r="O69" s="1020"/>
      <c r="P69" s="57" t="s">
        <v>1000</v>
      </c>
      <c r="Q69" s="57"/>
      <c r="R69" s="58"/>
      <c r="S69" s="38"/>
      <c r="T69" s="38"/>
    </row>
    <row r="70" spans="1:20">
      <c r="A70" s="38"/>
      <c r="B70" s="53"/>
      <c r="C70" s="31" t="s">
        <v>869</v>
      </c>
      <c r="D70" s="54"/>
      <c r="E70" s="31" t="s">
        <v>942</v>
      </c>
      <c r="F70" s="56" t="s">
        <v>688</v>
      </c>
      <c r="G70" s="54" t="s">
        <v>952</v>
      </c>
      <c r="H70" s="1019" t="s">
        <v>952</v>
      </c>
      <c r="I70" s="1019"/>
      <c r="J70" s="1019"/>
      <c r="K70" s="1019"/>
      <c r="L70" s="1020" t="s">
        <v>952</v>
      </c>
      <c r="M70" s="1020"/>
      <c r="N70" s="1020"/>
      <c r="O70" s="1020"/>
      <c r="P70" s="57" t="s">
        <v>952</v>
      </c>
      <c r="Q70" s="57"/>
      <c r="R70" s="58"/>
      <c r="S70" s="38"/>
      <c r="T70" s="38"/>
    </row>
    <row r="71" spans="1:20" ht="54">
      <c r="A71" s="38"/>
      <c r="B71" s="53"/>
      <c r="C71" s="31" t="s">
        <v>870</v>
      </c>
      <c r="D71" s="54"/>
      <c r="E71" s="55" t="s">
        <v>937</v>
      </c>
      <c r="F71" s="56" t="s">
        <v>688</v>
      </c>
      <c r="G71" s="54" t="s">
        <v>944</v>
      </c>
      <c r="H71" s="1019" t="s">
        <v>982</v>
      </c>
      <c r="I71" s="1019"/>
      <c r="J71" s="1019"/>
      <c r="K71" s="1019"/>
      <c r="L71" s="1020" t="s">
        <v>983</v>
      </c>
      <c r="M71" s="1020"/>
      <c r="N71" s="1020"/>
      <c r="O71" s="1020"/>
      <c r="P71" s="57"/>
      <c r="Q71" s="57"/>
      <c r="R71" s="58"/>
      <c r="S71" s="38"/>
      <c r="T71" s="38"/>
    </row>
    <row r="72" spans="1:20">
      <c r="A72" s="38"/>
      <c r="B72" s="53"/>
      <c r="C72" s="31" t="s">
        <v>870</v>
      </c>
      <c r="D72" s="54"/>
      <c r="E72" s="31" t="s">
        <v>938</v>
      </c>
      <c r="F72" s="56" t="s">
        <v>688</v>
      </c>
      <c r="G72" s="54" t="s">
        <v>948</v>
      </c>
      <c r="H72" s="1019" t="s">
        <v>952</v>
      </c>
      <c r="I72" s="1019"/>
      <c r="J72" s="1019"/>
      <c r="K72" s="1019"/>
      <c r="L72" s="1020" t="s">
        <v>952</v>
      </c>
      <c r="M72" s="1020"/>
      <c r="N72" s="1020"/>
      <c r="O72" s="1020"/>
      <c r="P72" s="57" t="s">
        <v>952</v>
      </c>
      <c r="Q72" s="57"/>
      <c r="R72" s="58"/>
      <c r="S72" s="38"/>
      <c r="T72" s="38"/>
    </row>
    <row r="73" spans="1:20">
      <c r="A73" s="38"/>
      <c r="B73" s="53"/>
      <c r="C73" s="31" t="s">
        <v>870</v>
      </c>
      <c r="D73" s="54"/>
      <c r="E73" s="31" t="s">
        <v>939</v>
      </c>
      <c r="F73" s="56" t="s">
        <v>688</v>
      </c>
      <c r="G73" s="54" t="s">
        <v>952</v>
      </c>
      <c r="H73" s="1019" t="s">
        <v>952</v>
      </c>
      <c r="I73" s="1019"/>
      <c r="J73" s="1019"/>
      <c r="K73" s="1019"/>
      <c r="L73" s="1020" t="s">
        <v>952</v>
      </c>
      <c r="M73" s="1020"/>
      <c r="N73" s="1020"/>
      <c r="O73" s="1020"/>
      <c r="P73" s="57" t="s">
        <v>952</v>
      </c>
      <c r="Q73" s="57"/>
      <c r="R73" s="58"/>
      <c r="S73" s="38"/>
      <c r="T73" s="38"/>
    </row>
    <row r="74" spans="1:20" ht="27">
      <c r="A74" s="38"/>
      <c r="B74" s="53"/>
      <c r="C74" s="31" t="s">
        <v>870</v>
      </c>
      <c r="D74" s="54"/>
      <c r="E74" s="31" t="s">
        <v>940</v>
      </c>
      <c r="F74" s="56" t="s">
        <v>688</v>
      </c>
      <c r="G74" s="54" t="s">
        <v>953</v>
      </c>
      <c r="H74" s="1019" t="s">
        <v>954</v>
      </c>
      <c r="I74" s="1019"/>
      <c r="J74" s="1019"/>
      <c r="K74" s="1019"/>
      <c r="L74" s="1020" t="s">
        <v>955</v>
      </c>
      <c r="M74" s="1020"/>
      <c r="N74" s="1020"/>
      <c r="O74" s="1020"/>
      <c r="P74" s="57" t="s">
        <v>956</v>
      </c>
      <c r="Q74" s="57"/>
      <c r="R74" s="58"/>
      <c r="S74" s="38"/>
      <c r="T74" s="38"/>
    </row>
    <row r="75" spans="1:20">
      <c r="A75" s="38"/>
      <c r="B75" s="53"/>
      <c r="C75" s="31" t="s">
        <v>870</v>
      </c>
      <c r="D75" s="54"/>
      <c r="E75" s="31" t="s">
        <v>941</v>
      </c>
      <c r="F75" s="56" t="s">
        <v>688</v>
      </c>
      <c r="G75" s="54" t="s">
        <v>984</v>
      </c>
      <c r="H75" s="1019" t="s">
        <v>985</v>
      </c>
      <c r="I75" s="1019"/>
      <c r="J75" s="1019"/>
      <c r="K75" s="1019"/>
      <c r="L75" s="1020" t="s">
        <v>986</v>
      </c>
      <c r="M75" s="1020"/>
      <c r="N75" s="1020"/>
      <c r="O75" s="1020"/>
      <c r="P75" s="57" t="s">
        <v>987</v>
      </c>
      <c r="Q75" s="57"/>
      <c r="R75" s="58"/>
      <c r="S75" s="38"/>
      <c r="T75" s="38"/>
    </row>
    <row r="76" spans="1:20">
      <c r="A76" s="38"/>
      <c r="B76" s="53"/>
      <c r="C76" s="31" t="s">
        <v>870</v>
      </c>
      <c r="D76" s="54"/>
      <c r="E76" s="31" t="s">
        <v>888</v>
      </c>
      <c r="F76" s="56" t="s">
        <v>688</v>
      </c>
      <c r="G76" s="54" t="s">
        <v>988</v>
      </c>
      <c r="H76" s="1019" t="s">
        <v>989</v>
      </c>
      <c r="I76" s="1019"/>
      <c r="J76" s="1019"/>
      <c r="K76" s="1019"/>
      <c r="L76" s="1020" t="s">
        <v>990</v>
      </c>
      <c r="M76" s="1020"/>
      <c r="N76" s="1020"/>
      <c r="O76" s="1020"/>
      <c r="P76" s="57" t="s">
        <v>961</v>
      </c>
      <c r="Q76" s="57"/>
      <c r="R76" s="58"/>
      <c r="S76" s="38"/>
      <c r="T76" s="38"/>
    </row>
    <row r="77" spans="1:20">
      <c r="A77" s="38"/>
      <c r="B77" s="53"/>
      <c r="C77" s="31" t="s">
        <v>870</v>
      </c>
      <c r="D77" s="54"/>
      <c r="E77" s="31" t="s">
        <v>942</v>
      </c>
      <c r="F77" s="56" t="s">
        <v>688</v>
      </c>
      <c r="G77" s="54" t="s">
        <v>952</v>
      </c>
      <c r="H77" s="1019" t="s">
        <v>952</v>
      </c>
      <c r="I77" s="1019"/>
      <c r="J77" s="1019"/>
      <c r="K77" s="1019"/>
      <c r="L77" s="1020" t="s">
        <v>952</v>
      </c>
      <c r="M77" s="1020"/>
      <c r="N77" s="1020"/>
      <c r="O77" s="1020"/>
      <c r="P77" s="57" t="s">
        <v>952</v>
      </c>
      <c r="Q77" s="57"/>
      <c r="R77" s="58"/>
      <c r="S77" s="38"/>
      <c r="T77" s="38"/>
    </row>
    <row r="78" spans="1:20" ht="54">
      <c r="A78" s="38"/>
      <c r="B78" s="53"/>
      <c r="C78" s="31" t="s">
        <v>871</v>
      </c>
      <c r="D78" s="54"/>
      <c r="E78" s="55" t="s">
        <v>937</v>
      </c>
      <c r="F78" s="56" t="s">
        <v>688</v>
      </c>
      <c r="G78" s="54" t="s">
        <v>944</v>
      </c>
      <c r="H78" s="1019" t="s">
        <v>991</v>
      </c>
      <c r="I78" s="1019"/>
      <c r="J78" s="1019"/>
      <c r="K78" s="1019"/>
      <c r="L78" s="1020" t="s">
        <v>992</v>
      </c>
      <c r="M78" s="1020"/>
      <c r="N78" s="1020"/>
      <c r="O78" s="1020"/>
      <c r="P78" s="57" t="s">
        <v>993</v>
      </c>
      <c r="Q78" s="57"/>
      <c r="R78" s="58"/>
      <c r="S78" s="38"/>
      <c r="T78" s="38"/>
    </row>
    <row r="79" spans="1:20">
      <c r="A79" s="38"/>
      <c r="B79" s="53"/>
      <c r="C79" s="31" t="s">
        <v>871</v>
      </c>
      <c r="D79" s="54"/>
      <c r="E79" s="31" t="s">
        <v>938</v>
      </c>
      <c r="F79" s="56" t="s">
        <v>688</v>
      </c>
      <c r="G79" s="54" t="s">
        <v>948</v>
      </c>
      <c r="H79" s="1019" t="s">
        <v>949</v>
      </c>
      <c r="I79" s="1019"/>
      <c r="J79" s="1019"/>
      <c r="K79" s="1019"/>
      <c r="L79" s="1020" t="s">
        <v>950</v>
      </c>
      <c r="M79" s="1020"/>
      <c r="N79" s="1020"/>
      <c r="O79" s="1020"/>
      <c r="P79" s="57" t="s">
        <v>951</v>
      </c>
      <c r="Q79" s="57"/>
      <c r="R79" s="58"/>
      <c r="S79" s="38"/>
      <c r="T79" s="38"/>
    </row>
    <row r="80" spans="1:20">
      <c r="A80" s="38"/>
      <c r="B80" s="53"/>
      <c r="C80" s="31" t="s">
        <v>871</v>
      </c>
      <c r="D80" s="54"/>
      <c r="E80" s="31" t="s">
        <v>939</v>
      </c>
      <c r="F80" s="56" t="s">
        <v>688</v>
      </c>
      <c r="G80" s="54" t="s">
        <v>952</v>
      </c>
      <c r="H80" s="1019" t="s">
        <v>952</v>
      </c>
      <c r="I80" s="1019"/>
      <c r="J80" s="1019"/>
      <c r="K80" s="1019"/>
      <c r="L80" s="1020" t="s">
        <v>952</v>
      </c>
      <c r="M80" s="1020"/>
      <c r="N80" s="1020"/>
      <c r="O80" s="1020"/>
      <c r="P80" s="57" t="s">
        <v>952</v>
      </c>
      <c r="Q80" s="57"/>
      <c r="R80" s="58"/>
      <c r="S80" s="38"/>
      <c r="T80" s="38"/>
    </row>
    <row r="81" spans="1:20" ht="27">
      <c r="A81" s="38"/>
      <c r="B81" s="53"/>
      <c r="C81" s="31" t="s">
        <v>871</v>
      </c>
      <c r="D81" s="54"/>
      <c r="E81" s="31" t="s">
        <v>940</v>
      </c>
      <c r="F81" s="56" t="s">
        <v>688</v>
      </c>
      <c r="G81" s="54" t="s">
        <v>952</v>
      </c>
      <c r="H81" s="1019" t="s">
        <v>952</v>
      </c>
      <c r="I81" s="1019"/>
      <c r="J81" s="1019"/>
      <c r="K81" s="1019"/>
      <c r="L81" s="1020" t="s">
        <v>952</v>
      </c>
      <c r="M81" s="1020"/>
      <c r="N81" s="1020"/>
      <c r="O81" s="1020"/>
      <c r="P81" s="57" t="s">
        <v>952</v>
      </c>
      <c r="Q81" s="57"/>
      <c r="R81" s="58"/>
      <c r="S81" s="38"/>
      <c r="T81" s="38"/>
    </row>
    <row r="82" spans="1:20">
      <c r="A82" s="38"/>
      <c r="B82" s="53"/>
      <c r="C82" s="31" t="s">
        <v>871</v>
      </c>
      <c r="D82" s="54"/>
      <c r="E82" s="31" t="s">
        <v>941</v>
      </c>
      <c r="F82" s="56" t="s">
        <v>688</v>
      </c>
      <c r="G82" s="54" t="s">
        <v>952</v>
      </c>
      <c r="H82" s="1019" t="s">
        <v>952</v>
      </c>
      <c r="I82" s="1019"/>
      <c r="J82" s="1019"/>
      <c r="K82" s="1019"/>
      <c r="L82" s="1020" t="s">
        <v>952</v>
      </c>
      <c r="M82" s="1020"/>
      <c r="N82" s="1020"/>
      <c r="O82" s="1020"/>
      <c r="P82" s="57" t="s">
        <v>952</v>
      </c>
      <c r="Q82" s="57"/>
      <c r="R82" s="58"/>
      <c r="S82" s="38"/>
      <c r="T82" s="38"/>
    </row>
    <row r="83" spans="1:20" ht="24">
      <c r="A83" s="38"/>
      <c r="B83" s="53"/>
      <c r="C83" s="31" t="s">
        <v>871</v>
      </c>
      <c r="D83" s="54"/>
      <c r="E83" s="31" t="s">
        <v>888</v>
      </c>
      <c r="F83" s="56" t="s">
        <v>688</v>
      </c>
      <c r="G83" s="54" t="s">
        <v>959</v>
      </c>
      <c r="H83" s="1019" t="s">
        <v>994</v>
      </c>
      <c r="I83" s="1019"/>
      <c r="J83" s="1019"/>
      <c r="K83" s="1019"/>
      <c r="L83" s="1020" t="s">
        <v>995</v>
      </c>
      <c r="M83" s="1020"/>
      <c r="N83" s="1020"/>
      <c r="O83" s="1020"/>
      <c r="P83" s="57" t="s">
        <v>961</v>
      </c>
      <c r="Q83" s="57"/>
      <c r="R83" s="58"/>
      <c r="S83" s="38"/>
      <c r="T83" s="38"/>
    </row>
    <row r="84" spans="1:20">
      <c r="A84" s="38"/>
      <c r="B84" s="53"/>
      <c r="C84" s="31" t="s">
        <v>871</v>
      </c>
      <c r="D84" s="54"/>
      <c r="E84" s="31" t="s">
        <v>942</v>
      </c>
      <c r="F84" s="56" t="s">
        <v>688</v>
      </c>
      <c r="G84" s="54" t="s">
        <v>952</v>
      </c>
      <c r="H84" s="1019" t="s">
        <v>952</v>
      </c>
      <c r="I84" s="1019"/>
      <c r="J84" s="1019"/>
      <c r="K84" s="1019"/>
      <c r="L84" s="1020" t="s">
        <v>952</v>
      </c>
      <c r="M84" s="1020"/>
      <c r="N84" s="1020"/>
      <c r="O84" s="1020"/>
      <c r="P84" s="57" t="s">
        <v>952</v>
      </c>
      <c r="Q84" s="57"/>
      <c r="R84" s="58"/>
      <c r="S84" s="38"/>
      <c r="T84" s="38"/>
    </row>
    <row r="85" spans="1:20" ht="54">
      <c r="A85" s="38"/>
      <c r="B85" s="53"/>
      <c r="C85" s="31" t="s">
        <v>872</v>
      </c>
      <c r="D85" s="54"/>
      <c r="E85" s="55" t="s">
        <v>937</v>
      </c>
      <c r="F85" s="56" t="s">
        <v>688</v>
      </c>
      <c r="G85" s="54" t="s">
        <v>944</v>
      </c>
      <c r="H85" s="1019" t="s">
        <v>968</v>
      </c>
      <c r="I85" s="1019"/>
      <c r="J85" s="1019"/>
      <c r="K85" s="1019"/>
      <c r="L85" s="1020" t="s">
        <v>969</v>
      </c>
      <c r="M85" s="1020"/>
      <c r="N85" s="1020"/>
      <c r="O85" s="1020"/>
      <c r="P85" s="57" t="s">
        <v>970</v>
      </c>
      <c r="Q85" s="57"/>
      <c r="R85" s="58"/>
      <c r="S85" s="38"/>
      <c r="T85" s="38"/>
    </row>
    <row r="86" spans="1:20">
      <c r="A86" s="38"/>
      <c r="B86" s="53"/>
      <c r="C86" s="31" t="s">
        <v>872</v>
      </c>
      <c r="D86" s="54"/>
      <c r="E86" s="31" t="s">
        <v>938</v>
      </c>
      <c r="F86" s="56" t="s">
        <v>688</v>
      </c>
      <c r="G86" s="54" t="s">
        <v>948</v>
      </c>
      <c r="H86" s="1019" t="s">
        <v>885</v>
      </c>
      <c r="I86" s="1019"/>
      <c r="J86" s="1019"/>
      <c r="K86" s="1019"/>
      <c r="L86" s="1020" t="s">
        <v>971</v>
      </c>
      <c r="M86" s="1020"/>
      <c r="N86" s="1020"/>
      <c r="O86" s="1020"/>
      <c r="P86" s="57" t="s">
        <v>951</v>
      </c>
      <c r="Q86" s="57"/>
      <c r="R86" s="58"/>
      <c r="S86" s="38"/>
      <c r="T86" s="38"/>
    </row>
    <row r="87" spans="1:20">
      <c r="A87" s="38"/>
      <c r="B87" s="53"/>
      <c r="C87" s="31" t="s">
        <v>872</v>
      </c>
      <c r="D87" s="54"/>
      <c r="E87" s="31" t="s">
        <v>939</v>
      </c>
      <c r="F87" s="56" t="s">
        <v>688</v>
      </c>
      <c r="G87" s="54" t="s">
        <v>952</v>
      </c>
      <c r="H87" s="1019" t="s">
        <v>952</v>
      </c>
      <c r="I87" s="1019"/>
      <c r="J87" s="1019"/>
      <c r="K87" s="1019"/>
      <c r="L87" s="1020" t="s">
        <v>952</v>
      </c>
      <c r="M87" s="1020"/>
      <c r="N87" s="1020"/>
      <c r="O87" s="1020"/>
      <c r="P87" s="57" t="s">
        <v>952</v>
      </c>
      <c r="Q87" s="57"/>
      <c r="R87" s="58"/>
      <c r="S87" s="38"/>
      <c r="T87" s="38"/>
    </row>
    <row r="88" spans="1:20" ht="27">
      <c r="A88" s="38"/>
      <c r="B88" s="53"/>
      <c r="C88" s="31" t="s">
        <v>872</v>
      </c>
      <c r="D88" s="54"/>
      <c r="E88" s="31" t="s">
        <v>940</v>
      </c>
      <c r="F88" s="56" t="s">
        <v>688</v>
      </c>
      <c r="G88" s="54" t="s">
        <v>952</v>
      </c>
      <c r="H88" s="1019" t="s">
        <v>952</v>
      </c>
      <c r="I88" s="1019"/>
      <c r="J88" s="1019"/>
      <c r="K88" s="1019"/>
      <c r="L88" s="1020" t="s">
        <v>952</v>
      </c>
      <c r="M88" s="1020"/>
      <c r="N88" s="1020"/>
      <c r="O88" s="1020"/>
      <c r="P88" s="57" t="s">
        <v>952</v>
      </c>
      <c r="Q88" s="57"/>
      <c r="R88" s="58"/>
      <c r="S88" s="38"/>
      <c r="T88" s="38"/>
    </row>
    <row r="89" spans="1:20">
      <c r="A89" s="38"/>
      <c r="B89" s="53"/>
      <c r="C89" s="31" t="s">
        <v>872</v>
      </c>
      <c r="D89" s="54"/>
      <c r="E89" s="31" t="s">
        <v>941</v>
      </c>
      <c r="F89" s="56" t="s">
        <v>688</v>
      </c>
      <c r="G89" s="54" t="s">
        <v>972</v>
      </c>
      <c r="H89" s="1019" t="s">
        <v>973</v>
      </c>
      <c r="I89" s="1019"/>
      <c r="J89" s="1019"/>
      <c r="K89" s="1019"/>
      <c r="L89" s="1020" t="s">
        <v>974</v>
      </c>
      <c r="M89" s="1020"/>
      <c r="N89" s="1020"/>
      <c r="O89" s="1020"/>
      <c r="P89" s="57" t="s">
        <v>975</v>
      </c>
      <c r="Q89" s="57"/>
      <c r="R89" s="58"/>
      <c r="S89" s="38"/>
      <c r="T89" s="38"/>
    </row>
    <row r="90" spans="1:20" ht="24">
      <c r="A90" s="38"/>
      <c r="B90" s="53"/>
      <c r="C90" s="31" t="s">
        <v>872</v>
      </c>
      <c r="D90" s="54"/>
      <c r="E90" s="31" t="s">
        <v>888</v>
      </c>
      <c r="F90" s="56" t="s">
        <v>688</v>
      </c>
      <c r="G90" s="54" t="s">
        <v>976</v>
      </c>
      <c r="H90" s="1019" t="s">
        <v>977</v>
      </c>
      <c r="I90" s="1019"/>
      <c r="J90" s="1019"/>
      <c r="K90" s="1019"/>
      <c r="L90" s="1020" t="s">
        <v>974</v>
      </c>
      <c r="M90" s="1020"/>
      <c r="N90" s="1020"/>
      <c r="O90" s="1020"/>
      <c r="P90" s="57" t="s">
        <v>975</v>
      </c>
      <c r="Q90" s="57"/>
      <c r="R90" s="58"/>
      <c r="S90" s="38"/>
      <c r="T90" s="38"/>
    </row>
    <row r="91" spans="1:20" ht="24">
      <c r="A91" s="38"/>
      <c r="B91" s="53"/>
      <c r="C91" s="31" t="s">
        <v>872</v>
      </c>
      <c r="D91" s="54"/>
      <c r="E91" s="31" t="s">
        <v>942</v>
      </c>
      <c r="F91" s="56" t="s">
        <v>688</v>
      </c>
      <c r="G91" s="54" t="s">
        <v>978</v>
      </c>
      <c r="H91" s="1019" t="s">
        <v>979</v>
      </c>
      <c r="I91" s="1019"/>
      <c r="J91" s="1019"/>
      <c r="K91" s="1019"/>
      <c r="L91" s="1020" t="s">
        <v>980</v>
      </c>
      <c r="M91" s="1020"/>
      <c r="N91" s="1020"/>
      <c r="O91" s="1020"/>
      <c r="P91" s="57" t="s">
        <v>981</v>
      </c>
      <c r="Q91" s="57"/>
      <c r="R91" s="58"/>
      <c r="S91" s="38"/>
      <c r="T91" s="38"/>
    </row>
    <row r="92" spans="1:20" ht="54">
      <c r="A92" s="38"/>
      <c r="B92" s="53"/>
      <c r="C92" s="31" t="s">
        <v>943</v>
      </c>
      <c r="D92" s="54"/>
      <c r="E92" s="55" t="s">
        <v>937</v>
      </c>
      <c r="F92" s="56" t="s">
        <v>688</v>
      </c>
      <c r="G92" s="54" t="s">
        <v>944</v>
      </c>
      <c r="H92" s="1019" t="s">
        <v>1005</v>
      </c>
      <c r="I92" s="1019"/>
      <c r="J92" s="1019"/>
      <c r="K92" s="1019"/>
      <c r="L92" s="1020" t="s">
        <v>983</v>
      </c>
      <c r="M92" s="1020"/>
      <c r="N92" s="1020"/>
      <c r="O92" s="1020"/>
      <c r="P92" s="57"/>
      <c r="Q92" s="57"/>
      <c r="R92" s="58"/>
      <c r="S92" s="38"/>
      <c r="T92" s="38"/>
    </row>
    <row r="93" spans="1:20">
      <c r="A93" s="38"/>
      <c r="B93" s="53"/>
      <c r="C93" s="31" t="s">
        <v>943</v>
      </c>
      <c r="D93" s="54"/>
      <c r="E93" s="31" t="s">
        <v>938</v>
      </c>
      <c r="F93" s="56" t="s">
        <v>688</v>
      </c>
      <c r="G93" s="54" t="s">
        <v>948</v>
      </c>
      <c r="H93" s="1019" t="s">
        <v>952</v>
      </c>
      <c r="I93" s="1019"/>
      <c r="J93" s="1019"/>
      <c r="K93" s="1019"/>
      <c r="L93" s="1020" t="s">
        <v>952</v>
      </c>
      <c r="M93" s="1020"/>
      <c r="N93" s="1020"/>
      <c r="O93" s="1020"/>
      <c r="P93" s="57" t="s">
        <v>952</v>
      </c>
      <c r="Q93" s="57"/>
      <c r="R93" s="58"/>
      <c r="S93" s="38"/>
      <c r="T93" s="38"/>
    </row>
    <row r="94" spans="1:20">
      <c r="A94" s="38"/>
      <c r="B94" s="53"/>
      <c r="C94" s="31" t="s">
        <v>943</v>
      </c>
      <c r="D94" s="54"/>
      <c r="E94" s="31" t="s">
        <v>939</v>
      </c>
      <c r="F94" s="56" t="s">
        <v>688</v>
      </c>
      <c r="G94" s="54" t="s">
        <v>952</v>
      </c>
      <c r="H94" s="1019" t="s">
        <v>952</v>
      </c>
      <c r="I94" s="1019"/>
      <c r="J94" s="1019"/>
      <c r="K94" s="1019"/>
      <c r="L94" s="1020" t="s">
        <v>952</v>
      </c>
      <c r="M94" s="1020"/>
      <c r="N94" s="1020"/>
      <c r="O94" s="1020"/>
      <c r="P94" s="57" t="s">
        <v>952</v>
      </c>
      <c r="Q94" s="57"/>
      <c r="R94" s="58"/>
      <c r="S94" s="38"/>
      <c r="T94" s="38"/>
    </row>
    <row r="95" spans="1:20" ht="27">
      <c r="A95" s="38"/>
      <c r="B95" s="53"/>
      <c r="C95" s="31" t="s">
        <v>943</v>
      </c>
      <c r="D95" s="54"/>
      <c r="E95" s="31" t="s">
        <v>940</v>
      </c>
      <c r="F95" s="56" t="s">
        <v>688</v>
      </c>
      <c r="G95" s="54" t="s">
        <v>953</v>
      </c>
      <c r="H95" s="1019" t="s">
        <v>954</v>
      </c>
      <c r="I95" s="1019"/>
      <c r="J95" s="1019"/>
      <c r="K95" s="1019"/>
      <c r="L95" s="1020" t="s">
        <v>955</v>
      </c>
      <c r="M95" s="1020"/>
      <c r="N95" s="1020"/>
      <c r="O95" s="1020"/>
      <c r="P95" s="57" t="s">
        <v>956</v>
      </c>
      <c r="Q95" s="57"/>
      <c r="R95" s="58"/>
      <c r="S95" s="38"/>
      <c r="T95" s="38"/>
    </row>
    <row r="96" spans="1:20">
      <c r="A96" s="38"/>
      <c r="B96" s="53"/>
      <c r="C96" s="31" t="s">
        <v>943</v>
      </c>
      <c r="D96" s="54"/>
      <c r="E96" s="31" t="s">
        <v>941</v>
      </c>
      <c r="F96" s="56" t="s">
        <v>688</v>
      </c>
      <c r="G96" s="54" t="s">
        <v>984</v>
      </c>
      <c r="H96" s="1019" t="s">
        <v>985</v>
      </c>
      <c r="I96" s="1019"/>
      <c r="J96" s="1019"/>
      <c r="K96" s="1019"/>
      <c r="L96" s="1020" t="s">
        <v>986</v>
      </c>
      <c r="M96" s="1020"/>
      <c r="N96" s="1020"/>
      <c r="O96" s="1020"/>
      <c r="P96" s="57" t="s">
        <v>987</v>
      </c>
      <c r="Q96" s="57"/>
      <c r="R96" s="58"/>
      <c r="S96" s="38"/>
      <c r="T96" s="38"/>
    </row>
    <row r="97" spans="1:20">
      <c r="A97" s="38"/>
      <c r="B97" s="53"/>
      <c r="C97" s="31" t="s">
        <v>943</v>
      </c>
      <c r="D97" s="54"/>
      <c r="E97" s="31" t="s">
        <v>888</v>
      </c>
      <c r="F97" s="56" t="s">
        <v>688</v>
      </c>
      <c r="G97" s="54" t="s">
        <v>952</v>
      </c>
      <c r="H97" s="1019" t="s">
        <v>952</v>
      </c>
      <c r="I97" s="1019"/>
      <c r="J97" s="1019"/>
      <c r="K97" s="1019"/>
      <c r="L97" s="1020" t="s">
        <v>952</v>
      </c>
      <c r="M97" s="1020"/>
      <c r="N97" s="1020"/>
      <c r="O97" s="1020"/>
      <c r="P97" s="57" t="s">
        <v>952</v>
      </c>
      <c r="Q97" s="57"/>
      <c r="R97" s="58"/>
      <c r="S97" s="38"/>
      <c r="T97" s="38"/>
    </row>
    <row r="98" spans="1:20">
      <c r="A98" s="38"/>
      <c r="B98" s="53"/>
      <c r="C98" s="31" t="s">
        <v>943</v>
      </c>
      <c r="D98" s="54"/>
      <c r="E98" s="31" t="s">
        <v>942</v>
      </c>
      <c r="F98" s="56" t="s">
        <v>688</v>
      </c>
      <c r="G98" s="54" t="s">
        <v>952</v>
      </c>
      <c r="H98" s="1019" t="s">
        <v>952</v>
      </c>
      <c r="I98" s="1019"/>
      <c r="J98" s="1019"/>
      <c r="K98" s="1019"/>
      <c r="L98" s="1020" t="s">
        <v>952</v>
      </c>
      <c r="M98" s="1020"/>
      <c r="N98" s="1020"/>
      <c r="O98" s="1020"/>
      <c r="P98" s="57" t="s">
        <v>952</v>
      </c>
      <c r="Q98" s="57"/>
      <c r="R98" s="58"/>
      <c r="S98" s="38"/>
      <c r="T98" s="38"/>
    </row>
    <row r="99" spans="1:20">
      <c r="A99" s="38"/>
      <c r="B99" s="38"/>
      <c r="C99" s="38"/>
      <c r="D99" s="38"/>
      <c r="E99" s="38"/>
      <c r="F99" s="38"/>
      <c r="G99" s="38"/>
      <c r="H99" s="38"/>
      <c r="I99" s="38"/>
      <c r="J99" s="38"/>
      <c r="K99" s="38"/>
      <c r="L99" s="38"/>
      <c r="M99" s="38"/>
      <c r="N99" s="38"/>
      <c r="O99" s="38"/>
      <c r="P99" s="38"/>
      <c r="Q99" s="38"/>
      <c r="R99" s="38"/>
      <c r="S99" s="38"/>
      <c r="T99" s="38"/>
    </row>
    <row r="100" spans="1:20">
      <c r="A100" s="38"/>
      <c r="B100" s="38"/>
      <c r="C100" s="38"/>
      <c r="D100" s="38"/>
      <c r="E100" s="38"/>
      <c r="F100" s="38"/>
      <c r="G100" s="38"/>
      <c r="H100" s="38"/>
      <c r="I100" s="38"/>
      <c r="J100" s="38"/>
      <c r="K100" s="38"/>
      <c r="L100" s="38"/>
      <c r="M100" s="38"/>
      <c r="N100" s="38"/>
      <c r="O100" s="38"/>
      <c r="P100" s="38"/>
      <c r="Q100" s="38"/>
      <c r="R100" s="38"/>
      <c r="S100" s="38"/>
      <c r="T100" s="38"/>
    </row>
  </sheetData>
  <autoFilter ref="B14:R98" xr:uid="{00000000-0009-0000-0000-00000E000000}">
    <filterColumn colId="6" showButton="0"/>
    <filterColumn colId="7" showButton="0"/>
    <filterColumn colId="8" showButton="0"/>
    <filterColumn colId="10" showButton="0"/>
    <filterColumn colId="11" showButton="0"/>
    <filterColumn colId="12" showButton="0"/>
  </autoFilter>
  <mergeCells count="176">
    <mergeCell ref="L16:O16"/>
    <mergeCell ref="H17:K17"/>
    <mergeCell ref="L17:O17"/>
    <mergeCell ref="H18:K18"/>
    <mergeCell ref="L18:O18"/>
    <mergeCell ref="H19:K19"/>
    <mergeCell ref="L19:O19"/>
    <mergeCell ref="B13:R13"/>
    <mergeCell ref="Q3:R3"/>
    <mergeCell ref="Q5:R5"/>
    <mergeCell ref="Q6:R6"/>
    <mergeCell ref="A9:T9"/>
    <mergeCell ref="A11:T11"/>
    <mergeCell ref="H14:K14"/>
    <mergeCell ref="L14:O14"/>
    <mergeCell ref="H15:K15"/>
    <mergeCell ref="L15:O15"/>
    <mergeCell ref="H16:K16"/>
    <mergeCell ref="H23:K23"/>
    <mergeCell ref="L23:O23"/>
    <mergeCell ref="H24:K24"/>
    <mergeCell ref="L24:O24"/>
    <mergeCell ref="H25:K25"/>
    <mergeCell ref="L25:O25"/>
    <mergeCell ref="H20:K20"/>
    <mergeCell ref="L20:O20"/>
    <mergeCell ref="H21:K21"/>
    <mergeCell ref="L21:O21"/>
    <mergeCell ref="H22:K22"/>
    <mergeCell ref="L22:O22"/>
    <mergeCell ref="H29:K29"/>
    <mergeCell ref="L29:O29"/>
    <mergeCell ref="H30:K30"/>
    <mergeCell ref="L30:O30"/>
    <mergeCell ref="H31:K31"/>
    <mergeCell ref="L31:O31"/>
    <mergeCell ref="H26:K26"/>
    <mergeCell ref="L26:O26"/>
    <mergeCell ref="H27:K27"/>
    <mergeCell ref="L27:O27"/>
    <mergeCell ref="H28:K28"/>
    <mergeCell ref="L28:O28"/>
    <mergeCell ref="H35:K35"/>
    <mergeCell ref="L35:O35"/>
    <mergeCell ref="H36:K36"/>
    <mergeCell ref="L36:O36"/>
    <mergeCell ref="H37:K37"/>
    <mergeCell ref="L37:O37"/>
    <mergeCell ref="H32:K32"/>
    <mergeCell ref="L32:O32"/>
    <mergeCell ref="H33:K33"/>
    <mergeCell ref="L33:O33"/>
    <mergeCell ref="H34:K34"/>
    <mergeCell ref="L34:O34"/>
    <mergeCell ref="H41:K41"/>
    <mergeCell ref="L41:O41"/>
    <mergeCell ref="H42:K42"/>
    <mergeCell ref="L42:O42"/>
    <mergeCell ref="H43:K43"/>
    <mergeCell ref="L43:O43"/>
    <mergeCell ref="H38:K38"/>
    <mergeCell ref="L38:O38"/>
    <mergeCell ref="H39:K39"/>
    <mergeCell ref="L39:O39"/>
    <mergeCell ref="H40:K40"/>
    <mergeCell ref="L40:O40"/>
    <mergeCell ref="H47:K47"/>
    <mergeCell ref="L47:O47"/>
    <mergeCell ref="H48:K48"/>
    <mergeCell ref="L48:O48"/>
    <mergeCell ref="H49:K49"/>
    <mergeCell ref="L49:O49"/>
    <mergeCell ref="H44:K44"/>
    <mergeCell ref="L44:O44"/>
    <mergeCell ref="H45:K45"/>
    <mergeCell ref="L45:O45"/>
    <mergeCell ref="H46:K46"/>
    <mergeCell ref="L46:O46"/>
    <mergeCell ref="H53:K53"/>
    <mergeCell ref="L53:O53"/>
    <mergeCell ref="H54:K54"/>
    <mergeCell ref="L54:O54"/>
    <mergeCell ref="H55:K55"/>
    <mergeCell ref="L55:O55"/>
    <mergeCell ref="H50:K50"/>
    <mergeCell ref="L50:O50"/>
    <mergeCell ref="H51:K51"/>
    <mergeCell ref="L51:O51"/>
    <mergeCell ref="H52:K52"/>
    <mergeCell ref="L52:O52"/>
    <mergeCell ref="H59:K59"/>
    <mergeCell ref="L59:O59"/>
    <mergeCell ref="H60:K60"/>
    <mergeCell ref="L60:O60"/>
    <mergeCell ref="H61:K61"/>
    <mergeCell ref="L61:O61"/>
    <mergeCell ref="H56:K56"/>
    <mergeCell ref="L56:O56"/>
    <mergeCell ref="H57:K57"/>
    <mergeCell ref="L57:O57"/>
    <mergeCell ref="H58:K58"/>
    <mergeCell ref="L58:O58"/>
    <mergeCell ref="H65:K65"/>
    <mergeCell ref="L65:O65"/>
    <mergeCell ref="H66:K66"/>
    <mergeCell ref="L66:O66"/>
    <mergeCell ref="H67:K67"/>
    <mergeCell ref="L67:O67"/>
    <mergeCell ref="H62:K62"/>
    <mergeCell ref="L62:O62"/>
    <mergeCell ref="H63:K63"/>
    <mergeCell ref="L63:O63"/>
    <mergeCell ref="H64:K64"/>
    <mergeCell ref="L64:O64"/>
    <mergeCell ref="H71:K71"/>
    <mergeCell ref="L71:O71"/>
    <mergeCell ref="H72:K72"/>
    <mergeCell ref="L72:O72"/>
    <mergeCell ref="H73:K73"/>
    <mergeCell ref="L73:O73"/>
    <mergeCell ref="H68:K68"/>
    <mergeCell ref="L68:O68"/>
    <mergeCell ref="H69:K69"/>
    <mergeCell ref="L69:O69"/>
    <mergeCell ref="H70:K70"/>
    <mergeCell ref="L70:O70"/>
    <mergeCell ref="H77:K77"/>
    <mergeCell ref="L77:O77"/>
    <mergeCell ref="H78:K78"/>
    <mergeCell ref="L78:O78"/>
    <mergeCell ref="H79:K79"/>
    <mergeCell ref="L79:O79"/>
    <mergeCell ref="H74:K74"/>
    <mergeCell ref="L74:O74"/>
    <mergeCell ref="H75:K75"/>
    <mergeCell ref="L75:O75"/>
    <mergeCell ref="H76:K76"/>
    <mergeCell ref="L76:O76"/>
    <mergeCell ref="H83:K83"/>
    <mergeCell ref="L83:O83"/>
    <mergeCell ref="H84:K84"/>
    <mergeCell ref="L84:O84"/>
    <mergeCell ref="H85:K85"/>
    <mergeCell ref="L85:O85"/>
    <mergeCell ref="H80:K80"/>
    <mergeCell ref="L80:O80"/>
    <mergeCell ref="H81:K81"/>
    <mergeCell ref="L81:O81"/>
    <mergeCell ref="H82:K82"/>
    <mergeCell ref="L82:O82"/>
    <mergeCell ref="H89:K89"/>
    <mergeCell ref="L89:O89"/>
    <mergeCell ref="H90:K90"/>
    <mergeCell ref="L90:O90"/>
    <mergeCell ref="H91:K91"/>
    <mergeCell ref="L91:O91"/>
    <mergeCell ref="H86:K86"/>
    <mergeCell ref="L86:O86"/>
    <mergeCell ref="H87:K87"/>
    <mergeCell ref="L87:O87"/>
    <mergeCell ref="H88:K88"/>
    <mergeCell ref="L88:O88"/>
    <mergeCell ref="H98:K98"/>
    <mergeCell ref="L98:O98"/>
    <mergeCell ref="H95:K95"/>
    <mergeCell ref="L95:O95"/>
    <mergeCell ref="H96:K96"/>
    <mergeCell ref="L96:O96"/>
    <mergeCell ref="H97:K97"/>
    <mergeCell ref="L97:O97"/>
    <mergeCell ref="H92:K92"/>
    <mergeCell ref="L92:O92"/>
    <mergeCell ref="H93:K93"/>
    <mergeCell ref="L93:O93"/>
    <mergeCell ref="H94:K94"/>
    <mergeCell ref="L94:O94"/>
  </mergeCells>
  <phoneticPr fontId="2"/>
  <pageMargins left="0.7" right="0.7" top="0.75" bottom="0.75" header="0.3" footer="0.3"/>
  <pageSetup paperSize="9" scale="10" orientation="portrait" r:id="rId1"/>
  <headerFooter>
    <oddHeader>&amp;C&amp;G</oddHeader>
    <oddFooter>&amp;C&amp;1#&amp;"맑은 고딕"&amp;6&amp;K737373관 윤 / 1628679@mobis.co.kr / 본 문서는 현대모비스의 대외비 정보자산이므로 무단 전재 및 복제할 수 없으며, 위반 시 당사 사규 및 관련 법규에 의해 제재될 수 있습니다.</oddFooter>
  </headerFooter>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
  <sheetViews>
    <sheetView workbookViewId="0">
      <selection activeCell="D14" sqref="A1:XFD1048576"/>
    </sheetView>
  </sheetViews>
  <sheetFormatPr defaultColWidth="8.7109375" defaultRowHeight="15"/>
  <cols>
    <col min="1" max="16384" width="8.7109375" style="32"/>
  </cols>
  <sheetData/>
  <phoneticPr fontId="3" type="noConversion"/>
  <pageMargins left="0.7" right="0.7" top="0.75" bottom="0.75" header="0.3" footer="0.3"/>
  <pageSetup paperSize="9" orientation="portrait" verticalDpi="0" r:id="rId1"/>
  <headerFooter>
    <oddHeader>&amp;C&amp;G</oddHeader>
    <oddFooter>&amp;C&amp;1#&amp;"맑은 고딕"&amp;6&amp;K737373관 윤 / 1628679@mobis.co.kr / 본 문서는 현대모비스의 대외비 정보자산이므로 무단 전재 및 복제할 수 없으며, 위반 시 당사 사규 및 관련 법규에 의해 제재될 수 있습니다.</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b86a425-5559-47a8-b008-85e360540126">
      <Terms xmlns="http://schemas.microsoft.com/office/infopath/2007/PartnerControls"/>
    </lcf76f155ced4ddcb4097134ff3c332f>
    <TaxCatchAll xmlns="a0882d1e-fec4-4e33-bac0-4422e17a49d8"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BC4C07A37A88345AFBC294494E27BA4" ma:contentTypeVersion="14" ma:contentTypeDescription="Create a new document." ma:contentTypeScope="" ma:versionID="a09cbc1d68bef10cd435642d36b808e2">
  <xsd:schema xmlns:xsd="http://www.w3.org/2001/XMLSchema" xmlns:xs="http://www.w3.org/2001/XMLSchema" xmlns:p="http://schemas.microsoft.com/office/2006/metadata/properties" xmlns:ns2="7b86a425-5559-47a8-b008-85e360540126" xmlns:ns3="a0882d1e-fec4-4e33-bac0-4422e17a49d8" targetNamespace="http://schemas.microsoft.com/office/2006/metadata/properties" ma:root="true" ma:fieldsID="ce84aefe725f4747e0c2c8907c543570" ns2:_="" ns3:_="">
    <xsd:import namespace="7b86a425-5559-47a8-b008-85e360540126"/>
    <xsd:import namespace="a0882d1e-fec4-4e33-bac0-4422e17a49d8"/>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86a425-5559-47a8-b008-85e36054012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1d4f45d9-1645-46fc-9ed0-7616ca953741"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0882d1e-fec4-4e33-bac0-4422e17a49d8"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693dcfbc-5eb7-4167-8275-fca8dbb2f407}" ma:internalName="TaxCatchAll" ma:showField="CatchAllData" ma:web="a0882d1e-fec4-4e33-bac0-4422e17a49d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4FEE571-7492-4D75-878E-2CA3925CE3CC}">
  <ds:schemaRefs>
    <ds:schemaRef ds:uri="http://schemas.microsoft.com/office/2006/documentManagement/types"/>
    <ds:schemaRef ds:uri="http://schemas.microsoft.com/office/infopath/2007/PartnerControls"/>
    <ds:schemaRef ds:uri="http://www.w3.org/XML/1998/namespace"/>
    <ds:schemaRef ds:uri="http://purl.org/dc/dcmitype/"/>
    <ds:schemaRef ds:uri="http://purl.org/dc/terms/"/>
    <ds:schemaRef ds:uri="http://schemas.openxmlformats.org/package/2006/metadata/core-properties"/>
    <ds:schemaRef ds:uri="a0882d1e-fec4-4e33-bac0-4422e17a49d8"/>
    <ds:schemaRef ds:uri="7b86a425-5559-47a8-b008-85e360540126"/>
    <ds:schemaRef ds:uri="http://schemas.microsoft.com/office/2006/metadata/properties"/>
    <ds:schemaRef ds:uri="http://purl.org/dc/elements/1.1/"/>
  </ds:schemaRefs>
</ds:datastoreItem>
</file>

<file path=customXml/itemProps2.xml><?xml version="1.0" encoding="utf-8"?>
<ds:datastoreItem xmlns:ds="http://schemas.openxmlformats.org/officeDocument/2006/customXml" ds:itemID="{BA84A669-41E1-47D8-8A5C-54F0F25FB73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b86a425-5559-47a8-b008-85e360540126"/>
    <ds:schemaRef ds:uri="a0882d1e-fec4-4e33-bac0-4422e17a49d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C85A942-A839-43E7-9FC0-915B3745B97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16</vt:i4>
      </vt:variant>
      <vt:variant>
        <vt:lpstr>Named Ranges</vt:lpstr>
      </vt:variant>
      <vt:variant>
        <vt:i4>13</vt:i4>
      </vt:variant>
    </vt:vector>
  </HeadingPairs>
  <TitlesOfParts>
    <vt:vector size="29" baseType="lpstr">
      <vt:lpstr>Cover</vt:lpstr>
      <vt:lpstr>Block Diagram</vt:lpstr>
      <vt:lpstr>Description of Block</vt:lpstr>
      <vt:lpstr>SM list</vt:lpstr>
      <vt:lpstr>Die_PKG Base Failure rate</vt:lpstr>
      <vt:lpstr>Core Block FIT rate</vt:lpstr>
      <vt:lpstr>FMEDA</vt:lpstr>
      <vt:lpstr>PIN ASSIGN</vt:lpstr>
      <vt:lpstr>PAD(PSP))</vt:lpstr>
      <vt:lpstr>PAD(PSG))</vt:lpstr>
      <vt:lpstr>Bonding(OPEN) </vt:lpstr>
      <vt:lpstr>PIN(Near short)</vt:lpstr>
      <vt:lpstr>Summary</vt:lpstr>
      <vt:lpstr>DFI List</vt:lpstr>
      <vt:lpstr>DFA</vt:lpstr>
      <vt:lpstr>Components IF</vt:lpstr>
      <vt:lpstr>'Block Diagram'!Print_Area</vt:lpstr>
      <vt:lpstr>'Bonding(OPEN) '!Print_Area</vt:lpstr>
      <vt:lpstr>'Core Block FIT rate'!Print_Area</vt:lpstr>
      <vt:lpstr>Cover!Print_Area</vt:lpstr>
      <vt:lpstr>'Description of Block'!Print_Area</vt:lpstr>
      <vt:lpstr>DFA!Print_Area</vt:lpstr>
      <vt:lpstr>'DFI List'!Print_Area</vt:lpstr>
      <vt:lpstr>FMEDA!Print_Area</vt:lpstr>
      <vt:lpstr>'PAD(PSG))'!Print_Area</vt:lpstr>
      <vt:lpstr>'PAD(PSP))'!Print_Area</vt:lpstr>
      <vt:lpstr>'PIN ASSIGN'!Print_Area</vt:lpstr>
      <vt:lpstr>'PIN(Near short)'!Print_Area</vt:lpstr>
      <vt:lpstr>'SM list'!Print_Area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2026-01-23T12:46:59Z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6d9a7a2-a2c9-479c-a560-d79de4b6971b_Enabled">
    <vt:lpwstr>true</vt:lpwstr>
  </property>
  <property fmtid="{D5CDD505-2E9C-101B-9397-08002B2CF9AE}" pid="3" name="MSIP_Label_c6d9a7a2-a2c9-479c-a560-d79de4b6971b_SetDate">
    <vt:lpwstr>2022-11-30T07:00:16Z</vt:lpwstr>
  </property>
  <property fmtid="{D5CDD505-2E9C-101B-9397-08002B2CF9AE}" pid="4" name="MSIP_Label_c6d9a7a2-a2c9-479c-a560-d79de4b6971b_Method">
    <vt:lpwstr>Standard</vt:lpwstr>
  </property>
  <property fmtid="{D5CDD505-2E9C-101B-9397-08002B2CF9AE}" pid="5" name="MSIP_Label_c6d9a7a2-a2c9-479c-a560-d79de4b6971b_Name">
    <vt:lpwstr>사외 정책</vt:lpwstr>
  </property>
  <property fmtid="{D5CDD505-2E9C-101B-9397-08002B2CF9AE}" pid="6" name="MSIP_Label_c6d9a7a2-a2c9-479c-a560-d79de4b6971b_SiteId">
    <vt:lpwstr>7cf932c0-bced-4490-b11f-48d23b1fe0d9</vt:lpwstr>
  </property>
  <property fmtid="{D5CDD505-2E9C-101B-9397-08002B2CF9AE}" pid="7" name="MSIP_Label_c6d9a7a2-a2c9-479c-a560-d79de4b6971b_ActionId">
    <vt:lpwstr>293039fe-0e95-46d2-a65c-0f6f4be3937b</vt:lpwstr>
  </property>
  <property fmtid="{D5CDD505-2E9C-101B-9397-08002B2CF9AE}" pid="8" name="MSIP_Label_c6d9a7a2-a2c9-479c-a560-d79de4b6971b_ContentBits">
    <vt:lpwstr>6</vt:lpwstr>
  </property>
  <property fmtid="{D5CDD505-2E9C-101B-9397-08002B2CF9AE}" pid="9" name="ContentTypeId">
    <vt:lpwstr>0x010100DBC4C07A37A88345AFBC294494E27BA4</vt:lpwstr>
  </property>
</Properties>
</file>